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firstSheet="3" activeTab="8"/>
  </bookViews>
  <sheets>
    <sheet name="Total Boardings by Route" sheetId="6" r:id="rId1"/>
    <sheet name="Average Boardings by Period" sheetId="7" r:id="rId2"/>
    <sheet name="Pivot Stop" sheetId="8" r:id="rId3"/>
    <sheet name="Pivot Weekend" sheetId="9" r:id="rId4"/>
    <sheet name="Pivot Delay" sheetId="10" r:id="rId5"/>
    <sheet name="Pivot Event" sheetId="11" r:id="rId6"/>
    <sheet name="Data" sheetId="1" r:id="rId7"/>
    <sheet name="Route Demand" sheetId="3" r:id="rId8"/>
    <sheet name="Summary" sheetId="12" r:id="rId9"/>
  </sheets>
  <definedNames>
    <definedName name="Route">'Route Demand'!$A:$A</definedName>
  </definedNames>
  <calcPr calcId="144525"/>
  <pivotCaches>
    <pivotCache cacheId="1" r:id="rId10"/>
    <pivotCache cacheId="2" r:id="rId11"/>
  </pivotCaches>
</workbook>
</file>

<file path=xl/calcChain.xml><?xml version="1.0" encoding="utf-8"?>
<calcChain xmlns="http://schemas.openxmlformats.org/spreadsheetml/2006/main">
  <c r="B4" i="12" l="1"/>
  <c r="B7" i="12"/>
  <c r="B8" i="12"/>
  <c r="B10" i="12"/>
  <c r="B11" i="12"/>
  <c r="B13" i="12"/>
  <c r="B3" i="12"/>
  <c r="B2" i="12"/>
  <c r="B9" i="12" l="1"/>
  <c r="I4" i="3"/>
  <c r="I5" i="3"/>
  <c r="I2" i="3"/>
  <c r="I1" i="3"/>
  <c r="F3" i="3"/>
  <c r="F4" i="3"/>
  <c r="F5" i="3"/>
  <c r="F6" i="3"/>
  <c r="F7" i="3"/>
  <c r="F8" i="3"/>
  <c r="F9" i="3"/>
  <c r="F10" i="3"/>
  <c r="F11" i="3"/>
  <c r="E3" i="3"/>
  <c r="E4" i="3"/>
  <c r="E5" i="3"/>
  <c r="E6" i="3"/>
  <c r="E7" i="3"/>
  <c r="E8" i="3"/>
  <c r="E9" i="3"/>
  <c r="E10" i="3"/>
  <c r="E11" i="3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B3" i="3"/>
  <c r="B4" i="3"/>
  <c r="B5" i="3"/>
  <c r="B6" i="3"/>
  <c r="B7" i="3"/>
  <c r="B8" i="3"/>
  <c r="B9" i="3"/>
  <c r="B10" i="3"/>
  <c r="B11" i="3"/>
  <c r="B2" i="3"/>
  <c r="D2" i="3"/>
  <c r="C2" i="3"/>
  <c r="F2" i="3" l="1"/>
  <c r="E2" i="3"/>
</calcChain>
</file>

<file path=xl/sharedStrings.xml><?xml version="1.0" encoding="utf-8"?>
<sst xmlns="http://schemas.openxmlformats.org/spreadsheetml/2006/main" count="3639" uniqueCount="612">
  <si>
    <t>trip_id</t>
  </si>
  <si>
    <t>route</t>
  </si>
  <si>
    <t>date</t>
  </si>
  <si>
    <t>weekday</t>
  </si>
  <si>
    <t>start_time</t>
  </si>
  <si>
    <t>stop_id</t>
  </si>
  <si>
    <t>boarding</t>
  </si>
  <si>
    <t>alighting</t>
  </si>
  <si>
    <t>distance_km</t>
  </si>
  <si>
    <t>stop_count</t>
  </si>
  <si>
    <t>corridor</t>
  </si>
  <si>
    <t>holiday</t>
  </si>
  <si>
    <t>event</t>
  </si>
  <si>
    <t>scheduled_trips</t>
  </si>
  <si>
    <t>completed_trips</t>
  </si>
  <si>
    <t>delay_min</t>
  </si>
  <si>
    <t>delay_missing</t>
  </si>
  <si>
    <t>hour</t>
  </si>
  <si>
    <t>month</t>
  </si>
  <si>
    <t>day_of_week</t>
  </si>
  <si>
    <t>is_weekend</t>
  </si>
  <si>
    <t>peak_period</t>
  </si>
  <si>
    <t>is_event_day</t>
  </si>
  <si>
    <t>completion_rate</t>
  </si>
  <si>
    <t>delay_flag</t>
  </si>
  <si>
    <t>boardings_per_stop</t>
  </si>
  <si>
    <t>boardings_per_km</t>
  </si>
  <si>
    <t>net_load</t>
  </si>
  <si>
    <t>route_avg_delay</t>
  </si>
  <si>
    <t>T0356</t>
  </si>
  <si>
    <t>R6</t>
  </si>
  <si>
    <t>Sunday</t>
  </si>
  <si>
    <t>S25</t>
  </si>
  <si>
    <t>West</t>
  </si>
  <si>
    <t>No Event</t>
  </si>
  <si>
    <t>Off-Peak</t>
  </si>
  <si>
    <t>T0332</t>
  </si>
  <si>
    <t>R7</t>
  </si>
  <si>
    <t>Friday</t>
  </si>
  <si>
    <t>S20</t>
  </si>
  <si>
    <t>North</t>
  </si>
  <si>
    <t>Evening Peak</t>
  </si>
  <si>
    <t>T0302</t>
  </si>
  <si>
    <t>R5</t>
  </si>
  <si>
    <t>Tuesday</t>
  </si>
  <si>
    <t>S01</t>
  </si>
  <si>
    <t>East</t>
  </si>
  <si>
    <t>Morning Peak</t>
  </si>
  <si>
    <t>T0318</t>
  </si>
  <si>
    <t>R2</t>
  </si>
  <si>
    <t>Saturday</t>
  </si>
  <si>
    <t>Central</t>
  </si>
  <si>
    <t>Cricket Match</t>
  </si>
  <si>
    <t>T0323</t>
  </si>
  <si>
    <t>Thursday</t>
  </si>
  <si>
    <t>S06</t>
  </si>
  <si>
    <t>T0166</t>
  </si>
  <si>
    <t>R8</t>
  </si>
  <si>
    <t>S15</t>
  </si>
  <si>
    <t>T0245</t>
  </si>
  <si>
    <t>R1</t>
  </si>
  <si>
    <t>S18</t>
  </si>
  <si>
    <t>T0153</t>
  </si>
  <si>
    <t>S13</t>
  </si>
  <si>
    <t>T0416</t>
  </si>
  <si>
    <t>R4</t>
  </si>
  <si>
    <t>South</t>
  </si>
  <si>
    <t>T0440</t>
  </si>
  <si>
    <t>S19</t>
  </si>
  <si>
    <t>Festival</t>
  </si>
  <si>
    <t>T0177</t>
  </si>
  <si>
    <t>T0257</t>
  </si>
  <si>
    <t>R10</t>
  </si>
  <si>
    <t>S09</t>
  </si>
  <si>
    <t>T0068</t>
  </si>
  <si>
    <t>T0473</t>
  </si>
  <si>
    <t>S21</t>
  </si>
  <si>
    <t>T0478</t>
  </si>
  <si>
    <t>Wednesday</t>
  </si>
  <si>
    <t>T0002</t>
  </si>
  <si>
    <t>S12</t>
  </si>
  <si>
    <t>T0226</t>
  </si>
  <si>
    <t>S14</t>
  </si>
  <si>
    <t>T0489</t>
  </si>
  <si>
    <t>S08</t>
  </si>
  <si>
    <t>T0421</t>
  </si>
  <si>
    <t>T0426</t>
  </si>
  <si>
    <t>Monday</t>
  </si>
  <si>
    <t>T0176</t>
  </si>
  <si>
    <t>S07</t>
  </si>
  <si>
    <t>T0104</t>
  </si>
  <si>
    <t>T0267</t>
  </si>
  <si>
    <t>T0468</t>
  </si>
  <si>
    <t>T0174</t>
  </si>
  <si>
    <t>T0019</t>
  </si>
  <si>
    <t>T0389</t>
  </si>
  <si>
    <t>T0268</t>
  </si>
  <si>
    <t>S03</t>
  </si>
  <si>
    <t>T0056</t>
  </si>
  <si>
    <t>T0147</t>
  </si>
  <si>
    <t>S23</t>
  </si>
  <si>
    <t>T0428</t>
  </si>
  <si>
    <t>R9</t>
  </si>
  <si>
    <t>T0130</t>
  </si>
  <si>
    <t>S22</t>
  </si>
  <si>
    <t>T0195</t>
  </si>
  <si>
    <t>R3</t>
  </si>
  <si>
    <t>UNKNOWN</t>
  </si>
  <si>
    <t>T0066</t>
  </si>
  <si>
    <t>T0335</t>
  </si>
  <si>
    <t>S16</t>
  </si>
  <si>
    <t>T0370</t>
  </si>
  <si>
    <t>T0048</t>
  </si>
  <si>
    <t>T0301</t>
  </si>
  <si>
    <t>T0387</t>
  </si>
  <si>
    <t>T0078</t>
  </si>
  <si>
    <t>T0304</t>
  </si>
  <si>
    <t>T0021</t>
  </si>
  <si>
    <t>T0090</t>
  </si>
  <si>
    <t>S10</t>
  </si>
  <si>
    <t>T0425</t>
  </si>
  <si>
    <t>T0487</t>
  </si>
  <si>
    <t>T0204</t>
  </si>
  <si>
    <t>T0194</t>
  </si>
  <si>
    <t>T0278</t>
  </si>
  <si>
    <t>S04</t>
  </si>
  <si>
    <t>T0310</t>
  </si>
  <si>
    <t>T0241</t>
  </si>
  <si>
    <t>T0180</t>
  </si>
  <si>
    <t>T0269</t>
  </si>
  <si>
    <t>T0413</t>
  </si>
  <si>
    <t>T0200</t>
  </si>
  <si>
    <t>T0223</t>
  </si>
  <si>
    <t>T0029</t>
  </si>
  <si>
    <t>T0161</t>
  </si>
  <si>
    <t>T0184</t>
  </si>
  <si>
    <t>T0025</t>
  </si>
  <si>
    <t>S11</t>
  </si>
  <si>
    <t>T0216</t>
  </si>
  <si>
    <t>T0155</t>
  </si>
  <si>
    <t>T0482</t>
  </si>
  <si>
    <t>T0142</t>
  </si>
  <si>
    <t>T0391</t>
  </si>
  <si>
    <t>T0394</t>
  </si>
  <si>
    <t>T0101</t>
  </si>
  <si>
    <t>T0445</t>
  </si>
  <si>
    <t>T0227</t>
  </si>
  <si>
    <t>T0282</t>
  </si>
  <si>
    <t>Concert</t>
  </si>
  <si>
    <t>T0495</t>
  </si>
  <si>
    <t>S24</t>
  </si>
  <si>
    <t>T0033</t>
  </si>
  <si>
    <t>T0298</t>
  </si>
  <si>
    <t>T0250</t>
  </si>
  <si>
    <t>T0475</t>
  </si>
  <si>
    <t>T0181</t>
  </si>
  <si>
    <t>T0313</t>
  </si>
  <si>
    <t>T0354</t>
  </si>
  <si>
    <t>T0067</t>
  </si>
  <si>
    <t>T0085</t>
  </si>
  <si>
    <t>T0041</t>
  </si>
  <si>
    <t>T0110</t>
  </si>
  <si>
    <t>T0284</t>
  </si>
  <si>
    <t>T0042</t>
  </si>
  <si>
    <t>T0231</t>
  </si>
  <si>
    <t>T0486</t>
  </si>
  <si>
    <t>T0371</t>
  </si>
  <si>
    <t>T0420</t>
  </si>
  <si>
    <t>T0472</t>
  </si>
  <si>
    <t>T0305</t>
  </si>
  <si>
    <t>T0070</t>
  </si>
  <si>
    <t>T0015</t>
  </si>
  <si>
    <t>T0259</t>
  </si>
  <si>
    <t>T0433</t>
  </si>
  <si>
    <t>T0353</t>
  </si>
  <si>
    <t>T0233</t>
  </si>
  <si>
    <t>T0368</t>
  </si>
  <si>
    <t>T0013</t>
  </si>
  <si>
    <t>T0292</t>
  </si>
  <si>
    <t>T0189</t>
  </si>
  <si>
    <t>T0151</t>
  </si>
  <si>
    <t>T0476</t>
  </si>
  <si>
    <t>T0038</t>
  </si>
  <si>
    <t>T0358</t>
  </si>
  <si>
    <t>T0003</t>
  </si>
  <si>
    <t>T0026</t>
  </si>
  <si>
    <t>T0464</t>
  </si>
  <si>
    <t>T0121</t>
  </si>
  <si>
    <t>T0290</t>
  </si>
  <si>
    <t>T0397</t>
  </si>
  <si>
    <t>T0363</t>
  </si>
  <si>
    <t>T0481</t>
  </si>
  <si>
    <t>T0493</t>
  </si>
  <si>
    <t>T0229</t>
  </si>
  <si>
    <t>T0376</t>
  </si>
  <si>
    <t>T0201</t>
  </si>
  <si>
    <t>T0491</t>
  </si>
  <si>
    <t>T0054</t>
  </si>
  <si>
    <t>T0118</t>
  </si>
  <si>
    <t>T0345</t>
  </si>
  <si>
    <t>T0460</t>
  </si>
  <si>
    <t>T0162</t>
  </si>
  <si>
    <t>T0277</t>
  </si>
  <si>
    <t>T0410</t>
  </si>
  <si>
    <t>T0295</t>
  </si>
  <si>
    <t>T0453</t>
  </si>
  <si>
    <t>T0008</t>
  </si>
  <si>
    <t>T0315</t>
  </si>
  <si>
    <t>T0331</t>
  </si>
  <si>
    <t>T0132</t>
  </si>
  <si>
    <t>T0285</t>
  </si>
  <si>
    <t>T0236</t>
  </si>
  <si>
    <t>T0115</t>
  </si>
  <si>
    <t>T0443</t>
  </si>
  <si>
    <t>T0069</t>
  </si>
  <si>
    <t>T0306</t>
  </si>
  <si>
    <t>T0382</t>
  </si>
  <si>
    <t>T0347</t>
  </si>
  <si>
    <t>T0329</t>
  </si>
  <si>
    <t>T0179</t>
  </si>
  <si>
    <t>T0448</t>
  </si>
  <si>
    <t>T0283</t>
  </si>
  <si>
    <t>T0071</t>
  </si>
  <si>
    <t>T0418</t>
  </si>
  <si>
    <t>T0465</t>
  </si>
  <si>
    <t>T0156</t>
  </si>
  <si>
    <t>T0135</t>
  </si>
  <si>
    <t>T0031</t>
  </si>
  <si>
    <t>T0193</t>
  </si>
  <si>
    <t>T0011</t>
  </si>
  <si>
    <t>T0286</t>
  </si>
  <si>
    <t>T0018</t>
  </si>
  <si>
    <t>T0492</t>
  </si>
  <si>
    <t>T0266</t>
  </si>
  <si>
    <t>T0265</t>
  </si>
  <si>
    <t>T0355</t>
  </si>
  <si>
    <t>T0120</t>
  </si>
  <si>
    <t>T0412</t>
  </si>
  <si>
    <t>T0398</t>
  </si>
  <si>
    <t>T0172</t>
  </si>
  <si>
    <t>T0333</t>
  </si>
  <si>
    <t>T0252</t>
  </si>
  <si>
    <t>T0030</t>
  </si>
  <si>
    <t>T0270</t>
  </si>
  <si>
    <t>T0143</t>
  </si>
  <si>
    <t>T0199</t>
  </si>
  <si>
    <t>T0346</t>
  </si>
  <si>
    <t>T0385</t>
  </si>
  <si>
    <t>T0222</t>
  </si>
  <si>
    <t>T0107</t>
  </si>
  <si>
    <t>S05</t>
  </si>
  <si>
    <t>T0095</t>
  </si>
  <si>
    <t>T0281</t>
  </si>
  <si>
    <t>T0380</t>
  </si>
  <si>
    <t>T0409</t>
  </si>
  <si>
    <t>T0378</t>
  </si>
  <si>
    <t>T0004</t>
  </si>
  <si>
    <t>T0043</t>
  </si>
  <si>
    <t>T0164</t>
  </si>
  <si>
    <t>T0401</t>
  </si>
  <si>
    <t>T0171</t>
  </si>
  <si>
    <t>T0215</t>
  </si>
  <si>
    <t>T0091</t>
  </si>
  <si>
    <t>T0444</t>
  </si>
  <si>
    <t>T0210</t>
  </si>
  <si>
    <t>T0160</t>
  </si>
  <si>
    <t>T0173</t>
  </si>
  <si>
    <t>T0237</t>
  </si>
  <si>
    <t>T0438</t>
  </si>
  <si>
    <t>T0232</t>
  </si>
  <si>
    <t>T0307</t>
  </si>
  <si>
    <t>T0260</t>
  </si>
  <si>
    <t>T0014</t>
  </si>
  <si>
    <t>T0213</t>
  </si>
  <si>
    <t>T0224</t>
  </si>
  <si>
    <t>T0411</t>
  </si>
  <si>
    <t>T0408</t>
  </si>
  <si>
    <t>T0183</t>
  </si>
  <si>
    <t>T0341</t>
  </si>
  <si>
    <t>T0158</t>
  </si>
  <si>
    <t>T0206</t>
  </si>
  <si>
    <t>T0399</t>
  </si>
  <si>
    <t>T0228</t>
  </si>
  <si>
    <t>T0007</t>
  </si>
  <si>
    <t>T0109</t>
  </si>
  <si>
    <t>T0055</t>
  </si>
  <si>
    <t>T0338</t>
  </si>
  <si>
    <t>T0485</t>
  </si>
  <si>
    <t>T0036</t>
  </si>
  <si>
    <t>T0175</t>
  </si>
  <si>
    <t>T0276</t>
  </si>
  <si>
    <t>T0100</t>
  </si>
  <si>
    <t>T0217</t>
  </si>
  <si>
    <t>T0430</t>
  </si>
  <si>
    <t>T0113</t>
  </si>
  <si>
    <t>T0322</t>
  </si>
  <si>
    <t>T0129</t>
  </si>
  <si>
    <t>T0454</t>
  </si>
  <si>
    <t>T0373</t>
  </si>
  <si>
    <t>T0218</t>
  </si>
  <si>
    <t>T0417</t>
  </si>
  <si>
    <t>T0351</t>
  </si>
  <si>
    <t>T0148</t>
  </si>
  <si>
    <t>T0280</t>
  </si>
  <si>
    <t>T0024</t>
  </si>
  <si>
    <t>T0099</t>
  </si>
  <si>
    <t>T0190</t>
  </si>
  <si>
    <t>T0119</t>
  </si>
  <si>
    <t>T0432</t>
  </si>
  <si>
    <t>T0497</t>
  </si>
  <si>
    <t>T0396</t>
  </si>
  <si>
    <t>T0145</t>
  </si>
  <si>
    <t>T0061</t>
  </si>
  <si>
    <t>T0334</t>
  </si>
  <si>
    <t>T0390</t>
  </si>
  <si>
    <t>T0383</t>
  </si>
  <si>
    <t>T0152</t>
  </si>
  <si>
    <t>T0187</t>
  </si>
  <si>
    <t>T0170</t>
  </si>
  <si>
    <t>T0012</t>
  </si>
  <si>
    <t>T0348</t>
  </si>
  <si>
    <t>T0466</t>
  </si>
  <si>
    <t>T0287</t>
  </si>
  <si>
    <t>T0182</t>
  </si>
  <si>
    <t>T0319</t>
  </si>
  <si>
    <t>T0127</t>
  </si>
  <si>
    <t>T0205</t>
  </si>
  <si>
    <t>T0392</t>
  </si>
  <si>
    <t>T0128</t>
  </si>
  <si>
    <t>T0366</t>
  </si>
  <si>
    <t>T0167</t>
  </si>
  <si>
    <t>T0058</t>
  </si>
  <si>
    <t>T0388</t>
  </si>
  <si>
    <t>T0131</t>
  </si>
  <si>
    <t>T0480</t>
  </si>
  <si>
    <t>T0238</t>
  </si>
  <si>
    <t>T0075</t>
  </si>
  <si>
    <t>T0244</t>
  </si>
  <si>
    <t>T0092</t>
  </si>
  <si>
    <t>T0379</t>
  </si>
  <si>
    <t>T0308</t>
  </si>
  <si>
    <t>T0419</t>
  </si>
  <si>
    <t>T0157</t>
  </si>
  <si>
    <t>T0343</t>
  </si>
  <si>
    <t>T0086</t>
  </si>
  <si>
    <t>T0191</t>
  </si>
  <si>
    <t>T0040</t>
  </si>
  <si>
    <t>T0112</t>
  </si>
  <si>
    <t>T0384</t>
  </si>
  <si>
    <t>T0336</t>
  </si>
  <si>
    <t>T0439</t>
  </si>
  <si>
    <t>T0005</t>
  </si>
  <si>
    <t>T0470</t>
  </si>
  <si>
    <t>T0105</t>
  </si>
  <si>
    <t>T0340</t>
  </si>
  <si>
    <t>T0450</t>
  </si>
  <si>
    <t>T0165</t>
  </si>
  <si>
    <t>T0106</t>
  </si>
  <si>
    <t>T0242</t>
  </si>
  <si>
    <t>T0442</t>
  </si>
  <si>
    <t>T0254</t>
  </si>
  <si>
    <t>T0263</t>
  </si>
  <si>
    <t>T0400</t>
  </si>
  <si>
    <t>T0404</t>
  </si>
  <si>
    <t>T0083</t>
  </si>
  <si>
    <t>T0437</t>
  </si>
  <si>
    <t>T0072</t>
  </si>
  <si>
    <t>T0088</t>
  </si>
  <si>
    <t>T0065</t>
  </si>
  <si>
    <t>T0271</t>
  </si>
  <si>
    <t>T0094</t>
  </si>
  <si>
    <t>T0311</t>
  </si>
  <si>
    <t>T0275</t>
  </si>
  <si>
    <t>T0498</t>
  </si>
  <si>
    <t>T0395</t>
  </si>
  <si>
    <t>T0321</t>
  </si>
  <si>
    <t>T0415</t>
  </si>
  <si>
    <t>T0154</t>
  </si>
  <si>
    <t>T0102</t>
  </si>
  <si>
    <t>T0342</t>
  </si>
  <si>
    <t>T0006</t>
  </si>
  <si>
    <t>T0045</t>
  </si>
  <si>
    <t>T0114</t>
  </si>
  <si>
    <t>T0221</t>
  </si>
  <si>
    <t>T0141</t>
  </si>
  <si>
    <t>T0211</t>
  </si>
  <si>
    <t>T0134</t>
  </si>
  <si>
    <t>T0262</t>
  </si>
  <si>
    <t>T0279</t>
  </si>
  <si>
    <t>T0080</t>
  </si>
  <si>
    <t>T0488</t>
  </si>
  <si>
    <t>T0116</t>
  </si>
  <si>
    <t>T0350</t>
  </si>
  <si>
    <t>T0365</t>
  </si>
  <si>
    <t>T0207</t>
  </si>
  <si>
    <t>T0185</t>
  </si>
  <si>
    <t>T0328</t>
  </si>
  <si>
    <t>T0484</t>
  </si>
  <si>
    <t>T0441</t>
  </si>
  <si>
    <t>T0243</t>
  </si>
  <si>
    <t>T0447</t>
  </si>
  <si>
    <t>T0010</t>
  </si>
  <si>
    <t>T0490</t>
  </si>
  <si>
    <t>T0046</t>
  </si>
  <si>
    <t>T0359</t>
  </si>
  <si>
    <t>T0422</t>
  </si>
  <si>
    <t>T0032</t>
  </si>
  <si>
    <t>T0037</t>
  </si>
  <si>
    <t>T0049</t>
  </si>
  <si>
    <t>T0299</t>
  </si>
  <si>
    <t>T0291</t>
  </si>
  <si>
    <t>T0314</t>
  </si>
  <si>
    <t>T0146</t>
  </si>
  <si>
    <t>T0123</t>
  </si>
  <si>
    <t>T0369</t>
  </si>
  <si>
    <t>T0337</t>
  </si>
  <si>
    <t>T0372</t>
  </si>
  <si>
    <t>T0377</t>
  </si>
  <si>
    <t>T0316</t>
  </si>
  <si>
    <t>T0198</t>
  </si>
  <si>
    <t>T0258</t>
  </si>
  <si>
    <t>T0140</t>
  </si>
  <si>
    <t>T0474</t>
  </si>
  <si>
    <t>T0423</t>
  </si>
  <si>
    <t>T0108</t>
  </si>
  <si>
    <t>T0009</t>
  </si>
  <si>
    <t>T0414</t>
  </si>
  <si>
    <t>T0483</t>
  </si>
  <si>
    <t>T0349</t>
  </si>
  <si>
    <t>T0469</t>
  </si>
  <si>
    <t>T0192</t>
  </si>
  <si>
    <t>T0235</t>
  </si>
  <si>
    <t>T0022</t>
  </si>
  <si>
    <t>T0479</t>
  </si>
  <si>
    <t>T0273</t>
  </si>
  <si>
    <t>T0452</t>
  </si>
  <si>
    <t>T0500</t>
  </si>
  <si>
    <t>T0375</t>
  </si>
  <si>
    <t>T0079</t>
  </si>
  <si>
    <t>T0330</t>
  </si>
  <si>
    <t>T0047</t>
  </si>
  <si>
    <t>T0429</t>
  </si>
  <si>
    <t>T0456</t>
  </si>
  <si>
    <t>T0406</t>
  </si>
  <si>
    <t>T0463</t>
  </si>
  <si>
    <t>T0220</t>
  </si>
  <si>
    <t>T0457</t>
  </si>
  <si>
    <t>T0339</t>
  </si>
  <si>
    <t>T0136</t>
  </si>
  <si>
    <t>T0202</t>
  </si>
  <si>
    <t>T0462</t>
  </si>
  <si>
    <t>T0111</t>
  </si>
  <si>
    <t>T0499</t>
  </si>
  <si>
    <t>T0064</t>
  </si>
  <si>
    <t>T0293</t>
  </si>
  <si>
    <t>T0093</t>
  </si>
  <si>
    <t>T0246</t>
  </si>
  <si>
    <t>T0063</t>
  </si>
  <si>
    <t>T0001</t>
  </si>
  <si>
    <t>T0028</t>
  </si>
  <si>
    <t>T0477</t>
  </si>
  <si>
    <t>T0251</t>
  </si>
  <si>
    <t>T0357</t>
  </si>
  <si>
    <t>T0178</t>
  </si>
  <si>
    <t>T0188</t>
  </si>
  <si>
    <t>T0149</t>
  </si>
  <si>
    <t>T0240</t>
  </si>
  <si>
    <t>T0458</t>
  </si>
  <si>
    <t>T0471</t>
  </si>
  <si>
    <t>T0159</t>
  </si>
  <si>
    <t>T0144</t>
  </si>
  <si>
    <t>T0274</t>
  </si>
  <si>
    <t>T0060</t>
  </si>
  <si>
    <t>T0203</t>
  </si>
  <si>
    <t>T0424</t>
  </si>
  <si>
    <t>T0209</t>
  </si>
  <si>
    <t>T0436</t>
  </si>
  <si>
    <t>T0150</t>
  </si>
  <si>
    <t>T0124</t>
  </si>
  <si>
    <t>T0312</t>
  </si>
  <si>
    <t>T0017</t>
  </si>
  <si>
    <t>T0225</t>
  </si>
  <si>
    <t>T0459</t>
  </si>
  <si>
    <t>T0230</t>
  </si>
  <si>
    <t>T0309</t>
  </si>
  <si>
    <t>T0446</t>
  </si>
  <si>
    <t>T0344</t>
  </si>
  <si>
    <t>T0403</t>
  </si>
  <si>
    <t>T0098</t>
  </si>
  <si>
    <t>T0126</t>
  </si>
  <si>
    <t>T0062</t>
  </si>
  <si>
    <t>T0082</t>
  </si>
  <si>
    <t>T0169</t>
  </si>
  <si>
    <t>T0325</t>
  </si>
  <si>
    <t>T0386</t>
  </si>
  <si>
    <t>T0057</t>
  </si>
  <si>
    <t>T0020</t>
  </si>
  <si>
    <t>T0087</t>
  </si>
  <si>
    <t>T0327</t>
  </si>
  <si>
    <t>T0247</t>
  </si>
  <si>
    <t>T0138</t>
  </si>
  <si>
    <t>T0317</t>
  </si>
  <si>
    <t>T0035</t>
  </si>
  <si>
    <t>T0297</t>
  </si>
  <si>
    <t>T0139</t>
  </si>
  <si>
    <t>T0255</t>
  </si>
  <si>
    <t>T0077</t>
  </si>
  <si>
    <t>T0449</t>
  </si>
  <si>
    <t>T0027</t>
  </si>
  <si>
    <t>T0289</t>
  </si>
  <si>
    <t>T0044</t>
  </si>
  <si>
    <t>T0097</t>
  </si>
  <si>
    <t>T0084</t>
  </si>
  <si>
    <t>T0253</t>
  </si>
  <si>
    <t>T0367</t>
  </si>
  <si>
    <t>T0362</t>
  </si>
  <si>
    <t>T0186</t>
  </si>
  <si>
    <t>T0074</t>
  </si>
  <si>
    <t>T0374</t>
  </si>
  <si>
    <t>T0249</t>
  </si>
  <si>
    <t>T0407</t>
  </si>
  <si>
    <t>T0402</t>
  </si>
  <si>
    <t>T0248</t>
  </si>
  <si>
    <t>T0393</t>
  </si>
  <si>
    <t>T0234</t>
  </si>
  <si>
    <t>T0272</t>
  </si>
  <si>
    <t>T0435</t>
  </si>
  <si>
    <t>T0137</t>
  </si>
  <si>
    <t>T0431</t>
  </si>
  <si>
    <t>T0296</t>
  </si>
  <si>
    <t>T0050</t>
  </si>
  <si>
    <t>T0208</t>
  </si>
  <si>
    <t>T0496</t>
  </si>
  <si>
    <t>T0133</t>
  </si>
  <si>
    <t>T0051</t>
  </si>
  <si>
    <t>T0461</t>
  </si>
  <si>
    <t>T0239</t>
  </si>
  <si>
    <t>T0053</t>
  </si>
  <si>
    <t>T0081</t>
  </si>
  <si>
    <t>T0451</t>
  </si>
  <si>
    <t>T0122</t>
  </si>
  <si>
    <t>T0212</t>
  </si>
  <si>
    <t>T0352</t>
  </si>
  <si>
    <t>T0455</t>
  </si>
  <si>
    <t>T0303</t>
  </si>
  <si>
    <t>T0197</t>
  </si>
  <si>
    <t>T0089</t>
  </si>
  <si>
    <t>T0326</t>
  </si>
  <si>
    <t>T0324</t>
  </si>
  <si>
    <t>T0256</t>
  </si>
  <si>
    <t>T0381</t>
  </si>
  <si>
    <t>T0059</t>
  </si>
  <si>
    <t>T0034</t>
  </si>
  <si>
    <t>T0039</t>
  </si>
  <si>
    <t>T0360</t>
  </si>
  <si>
    <t>T0052</t>
  </si>
  <si>
    <t>T0364</t>
  </si>
  <si>
    <t>T0427</t>
  </si>
  <si>
    <t>T0261</t>
  </si>
  <si>
    <t>T0103</t>
  </si>
  <si>
    <t>T0196</t>
  </si>
  <si>
    <t>T0168</t>
  </si>
  <si>
    <t>T0294</t>
  </si>
  <si>
    <t>T0117</t>
  </si>
  <si>
    <t>T0125</t>
  </si>
  <si>
    <t>T0405</t>
  </si>
  <si>
    <t>T0219</t>
  </si>
  <si>
    <t>T0288</t>
  </si>
  <si>
    <t>T0320</t>
  </si>
  <si>
    <t>T0214</t>
  </si>
  <si>
    <t>T0096</t>
  </si>
  <si>
    <t>T0434</t>
  </si>
  <si>
    <t>T0163</t>
  </si>
  <si>
    <t>T0264</t>
  </si>
  <si>
    <t>T0361</t>
  </si>
  <si>
    <t>T0076</t>
  </si>
  <si>
    <t>T0467</t>
  </si>
  <si>
    <t>T0300</t>
  </si>
  <si>
    <t>T0023</t>
  </si>
  <si>
    <t>T0073</t>
  </si>
  <si>
    <t>T0494</t>
  </si>
  <si>
    <t>T0016</t>
  </si>
  <si>
    <t>Total Boardings</t>
  </si>
  <si>
    <t>Avg per Trip</t>
  </si>
  <si>
    <t>Trips</t>
  </si>
  <si>
    <t>Route</t>
  </si>
  <si>
    <t>Rank</t>
  </si>
  <si>
    <t>% Share</t>
  </si>
  <si>
    <t>Row Labels</t>
  </si>
  <si>
    <t>Grand Total</t>
  </si>
  <si>
    <t>Sum of boarding</t>
  </si>
  <si>
    <t>Total passengers</t>
  </si>
  <si>
    <t>Average per route</t>
  </si>
  <si>
    <t>Median per route</t>
  </si>
  <si>
    <t>Std deviation</t>
  </si>
  <si>
    <t>Busiest route</t>
  </si>
  <si>
    <t>(blank)</t>
  </si>
  <si>
    <t>Count of boarding</t>
  </si>
  <si>
    <t>Count of delay_min</t>
  </si>
  <si>
    <t>Count of delay_flag</t>
  </si>
  <si>
    <t>Count of completion_rate</t>
  </si>
  <si>
    <t>Count of boarding2</t>
  </si>
  <si>
    <t>MetroLink Transit Insight – Summary</t>
  </si>
  <si>
    <t>Total trips</t>
  </si>
  <si>
    <t>Avg boardings, weekday</t>
  </si>
  <si>
    <t>Avg boardings, weekend</t>
  </si>
  <si>
    <t>Weekend vs weekday</t>
  </si>
  <si>
    <t>Average delay (min)</t>
  </si>
  <si>
    <t>% trips delayed over 5 min</t>
  </si>
  <si>
    <t>Most delayed route</t>
  </si>
  <si>
    <r>
      <t>R3</t>
    </r>
    <r>
      <rPr>
        <sz val="11"/>
        <color theme="1"/>
        <rFont val="Calibri"/>
        <family val="2"/>
        <scheme val="minor"/>
      </rPr>
      <t xml:space="preserve"> (type it, from your delay pivot)</t>
    </r>
  </si>
  <si>
    <t>Event uplift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</si>
</sst>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[MetroLink_Analysis.xlsx]Total Boardings by Route!PivotTable2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Total Boardings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Boardings by Route'!$B$3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Boardings by Route'!$A$4:$A$14</c:f>
              <c:strCache>
                <c:ptCount val="10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</c:strCache>
            </c:strRef>
          </c:cat>
          <c:val>
            <c:numRef>
              <c:f>'Total Boardings by Route'!$B$4:$B$14</c:f>
              <c:numCache>
                <c:formatCode>General</c:formatCode>
                <c:ptCount val="10"/>
                <c:pt idx="0">
                  <c:v>5348.625</c:v>
                </c:pt>
                <c:pt idx="1">
                  <c:v>2689.625</c:v>
                </c:pt>
                <c:pt idx="2">
                  <c:v>2247</c:v>
                </c:pt>
                <c:pt idx="3">
                  <c:v>5158.25</c:v>
                </c:pt>
                <c:pt idx="4">
                  <c:v>887</c:v>
                </c:pt>
                <c:pt idx="5">
                  <c:v>5379.125</c:v>
                </c:pt>
                <c:pt idx="6">
                  <c:v>2208</c:v>
                </c:pt>
                <c:pt idx="7">
                  <c:v>1724</c:v>
                </c:pt>
                <c:pt idx="8">
                  <c:v>3356.25</c:v>
                </c:pt>
                <c:pt idx="9">
                  <c:v>1260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138752"/>
        <c:axId val="224140288"/>
      </c:barChart>
      <c:catAx>
        <c:axId val="22413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4140288"/>
        <c:crosses val="autoZero"/>
        <c:auto val="1"/>
        <c:lblAlgn val="ctr"/>
        <c:lblOffset val="100"/>
        <c:noMultiLvlLbl val="0"/>
      </c:catAx>
      <c:valAx>
        <c:axId val="22414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138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[MetroLink_Analysis.xlsx]Average Boardings by Period!PivotTable3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Boardings by Period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Boardings by Period'!$B$3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'Average Boardings by Period'!$A$4:$A$8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'Average Boardings by Period'!$B$4:$B$8</c:f>
              <c:numCache>
                <c:formatCode>General</c:formatCode>
                <c:ptCount val="4"/>
                <c:pt idx="0">
                  <c:v>85</c:v>
                </c:pt>
                <c:pt idx="1">
                  <c:v>131</c:v>
                </c:pt>
                <c:pt idx="2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165248"/>
        <c:axId val="224216192"/>
      </c:barChart>
      <c:catAx>
        <c:axId val="224165248"/>
        <c:scaling>
          <c:orientation val="minMax"/>
        </c:scaling>
        <c:delete val="0"/>
        <c:axPos val="l"/>
        <c:majorTickMark val="out"/>
        <c:minorTickMark val="none"/>
        <c:tickLblPos val="nextTo"/>
        <c:crossAx val="224216192"/>
        <c:crosses val="autoZero"/>
        <c:auto val="1"/>
        <c:lblAlgn val="ctr"/>
        <c:lblOffset val="100"/>
        <c:noMultiLvlLbl val="0"/>
      </c:catAx>
      <c:valAx>
        <c:axId val="2242161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416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[MetroLink_Analysis.xlsx]Pivot Stop!PivotTable4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10 Stops by Boardings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Stop'!$B$3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Stop'!$A$4:$A$29</c:f>
              <c:strCache>
                <c:ptCount val="25"/>
                <c:pt idx="0">
                  <c:v>S01</c:v>
                </c:pt>
                <c:pt idx="1">
                  <c:v>S03</c:v>
                </c:pt>
                <c:pt idx="2">
                  <c:v>S04</c:v>
                </c:pt>
                <c:pt idx="3">
                  <c:v>S05</c:v>
                </c:pt>
                <c:pt idx="4">
                  <c:v>S06</c:v>
                </c:pt>
                <c:pt idx="5">
                  <c:v>S07</c:v>
                </c:pt>
                <c:pt idx="6">
                  <c:v>S08</c:v>
                </c:pt>
                <c:pt idx="7">
                  <c:v>S09</c:v>
                </c:pt>
                <c:pt idx="8">
                  <c:v>S10</c:v>
                </c:pt>
                <c:pt idx="9">
                  <c:v>S11</c:v>
                </c:pt>
                <c:pt idx="10">
                  <c:v>S12</c:v>
                </c:pt>
                <c:pt idx="11">
                  <c:v>S13</c:v>
                </c:pt>
                <c:pt idx="12">
                  <c:v>S14</c:v>
                </c:pt>
                <c:pt idx="13">
                  <c:v>S15</c:v>
                </c:pt>
                <c:pt idx="14">
                  <c:v>S16</c:v>
                </c:pt>
                <c:pt idx="15">
                  <c:v>S18</c:v>
                </c:pt>
                <c:pt idx="16">
                  <c:v>S19</c:v>
                </c:pt>
                <c:pt idx="17">
                  <c:v>S20</c:v>
                </c:pt>
                <c:pt idx="18">
                  <c:v>S21</c:v>
                </c:pt>
                <c:pt idx="19">
                  <c:v>S22</c:v>
                </c:pt>
                <c:pt idx="20">
                  <c:v>S23</c:v>
                </c:pt>
                <c:pt idx="21">
                  <c:v>S24</c:v>
                </c:pt>
                <c:pt idx="22">
                  <c:v>S25</c:v>
                </c:pt>
                <c:pt idx="23">
                  <c:v>UNKNOWN</c:v>
                </c:pt>
                <c:pt idx="24">
                  <c:v>(blank)</c:v>
                </c:pt>
              </c:strCache>
            </c:strRef>
          </c:cat>
          <c:val>
            <c:numRef>
              <c:f>'Pivot Stop'!$B$4:$B$29</c:f>
              <c:numCache>
                <c:formatCode>General</c:formatCode>
                <c:ptCount val="25"/>
                <c:pt idx="0">
                  <c:v>47</c:v>
                </c:pt>
                <c:pt idx="1">
                  <c:v>11</c:v>
                </c:pt>
                <c:pt idx="2">
                  <c:v>17</c:v>
                </c:pt>
                <c:pt idx="3">
                  <c:v>2</c:v>
                </c:pt>
                <c:pt idx="4">
                  <c:v>34</c:v>
                </c:pt>
                <c:pt idx="5">
                  <c:v>26</c:v>
                </c:pt>
                <c:pt idx="6">
                  <c:v>7</c:v>
                </c:pt>
                <c:pt idx="7">
                  <c:v>18</c:v>
                </c:pt>
                <c:pt idx="8">
                  <c:v>11</c:v>
                </c:pt>
                <c:pt idx="9">
                  <c:v>2</c:v>
                </c:pt>
                <c:pt idx="10">
                  <c:v>12</c:v>
                </c:pt>
                <c:pt idx="11">
                  <c:v>4</c:v>
                </c:pt>
                <c:pt idx="12">
                  <c:v>18</c:v>
                </c:pt>
                <c:pt idx="13">
                  <c:v>13</c:v>
                </c:pt>
                <c:pt idx="14">
                  <c:v>36</c:v>
                </c:pt>
                <c:pt idx="15">
                  <c:v>29</c:v>
                </c:pt>
                <c:pt idx="16">
                  <c:v>38</c:v>
                </c:pt>
                <c:pt idx="17">
                  <c:v>61</c:v>
                </c:pt>
                <c:pt idx="18">
                  <c:v>5</c:v>
                </c:pt>
                <c:pt idx="19">
                  <c:v>8</c:v>
                </c:pt>
                <c:pt idx="20">
                  <c:v>34</c:v>
                </c:pt>
                <c:pt idx="21">
                  <c:v>6</c:v>
                </c:pt>
                <c:pt idx="22">
                  <c:v>46</c:v>
                </c:pt>
                <c:pt idx="23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966720"/>
        <c:axId val="223968256"/>
      </c:barChart>
      <c:catAx>
        <c:axId val="223966720"/>
        <c:scaling>
          <c:orientation val="minMax"/>
        </c:scaling>
        <c:delete val="0"/>
        <c:axPos val="l"/>
        <c:majorTickMark val="out"/>
        <c:minorTickMark val="none"/>
        <c:tickLblPos val="nextTo"/>
        <c:crossAx val="223968256"/>
        <c:crosses val="autoZero"/>
        <c:auto val="1"/>
        <c:lblAlgn val="ctr"/>
        <c:lblOffset val="100"/>
        <c:noMultiLvlLbl val="0"/>
      </c:catAx>
      <c:valAx>
        <c:axId val="2239682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3966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[MetroLink_Analysis.xlsx]Pivot Weekend!PivotTable5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Pivot Weekend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Weekend'!$B$3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Weekend'!$A$4:$A$7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'Pivot Weekend'!$B$4:$B$7</c:f>
              <c:numCache>
                <c:formatCode>General</c:formatCode>
                <c:ptCount val="3"/>
                <c:pt idx="0">
                  <c:v>350</c:v>
                </c:pt>
                <c:pt idx="1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112000"/>
        <c:axId val="224113792"/>
      </c:barChart>
      <c:catAx>
        <c:axId val="224112000"/>
        <c:scaling>
          <c:orientation val="minMax"/>
        </c:scaling>
        <c:delete val="0"/>
        <c:axPos val="l"/>
        <c:majorTickMark val="out"/>
        <c:minorTickMark val="none"/>
        <c:tickLblPos val="nextTo"/>
        <c:crossAx val="224113792"/>
        <c:crosses val="autoZero"/>
        <c:auto val="1"/>
        <c:lblAlgn val="ctr"/>
        <c:lblOffset val="100"/>
        <c:noMultiLvlLbl val="0"/>
      </c:catAx>
      <c:valAx>
        <c:axId val="2241137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411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[MetroLink_Analysis.xlsx]Pivot Delay!PivotTable6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Delay'!$B$3</c:f>
              <c:strCache>
                <c:ptCount val="1"/>
                <c:pt idx="0">
                  <c:v>Count of delay_min</c:v>
                </c:pt>
              </c:strCache>
            </c:strRef>
          </c:tx>
          <c:invertIfNegative val="0"/>
          <c:cat>
            <c:strRef>
              <c:f>'Pivot Delay'!$A$4:$A$15</c:f>
              <c:strCache>
                <c:ptCount val="11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(blank)</c:v>
                </c:pt>
              </c:strCache>
            </c:strRef>
          </c:cat>
          <c:val>
            <c:numRef>
              <c:f>'Pivot Delay'!$B$4:$B$15</c:f>
              <c:numCache>
                <c:formatCode>General</c:formatCode>
                <c:ptCount val="11"/>
                <c:pt idx="0">
                  <c:v>92</c:v>
                </c:pt>
                <c:pt idx="1">
                  <c:v>46</c:v>
                </c:pt>
                <c:pt idx="2">
                  <c:v>48</c:v>
                </c:pt>
                <c:pt idx="3">
                  <c:v>72</c:v>
                </c:pt>
                <c:pt idx="4">
                  <c:v>18</c:v>
                </c:pt>
                <c:pt idx="5">
                  <c:v>72</c:v>
                </c:pt>
                <c:pt idx="6">
                  <c:v>44</c:v>
                </c:pt>
                <c:pt idx="7">
                  <c:v>34</c:v>
                </c:pt>
                <c:pt idx="8">
                  <c:v>47</c:v>
                </c:pt>
                <c:pt idx="9">
                  <c:v>27</c:v>
                </c:pt>
              </c:numCache>
            </c:numRef>
          </c:val>
        </c:ser>
        <c:ser>
          <c:idx val="1"/>
          <c:order val="1"/>
          <c:tx>
            <c:strRef>
              <c:f>'Pivot Delay'!$C$3</c:f>
              <c:strCache>
                <c:ptCount val="1"/>
                <c:pt idx="0">
                  <c:v>Count of delay_flag</c:v>
                </c:pt>
              </c:strCache>
            </c:strRef>
          </c:tx>
          <c:invertIfNegative val="0"/>
          <c:cat>
            <c:strRef>
              <c:f>'Pivot Delay'!$A$4:$A$15</c:f>
              <c:strCache>
                <c:ptCount val="11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(blank)</c:v>
                </c:pt>
              </c:strCache>
            </c:strRef>
          </c:cat>
          <c:val>
            <c:numRef>
              <c:f>'Pivot Delay'!$C$4:$C$15</c:f>
              <c:numCache>
                <c:formatCode>General</c:formatCode>
                <c:ptCount val="11"/>
                <c:pt idx="0">
                  <c:v>92</c:v>
                </c:pt>
                <c:pt idx="1">
                  <c:v>46</c:v>
                </c:pt>
                <c:pt idx="2">
                  <c:v>48</c:v>
                </c:pt>
                <c:pt idx="3">
                  <c:v>72</c:v>
                </c:pt>
                <c:pt idx="4">
                  <c:v>18</c:v>
                </c:pt>
                <c:pt idx="5">
                  <c:v>72</c:v>
                </c:pt>
                <c:pt idx="6">
                  <c:v>44</c:v>
                </c:pt>
                <c:pt idx="7">
                  <c:v>34</c:v>
                </c:pt>
                <c:pt idx="8">
                  <c:v>47</c:v>
                </c:pt>
                <c:pt idx="9">
                  <c:v>27</c:v>
                </c:pt>
              </c:numCache>
            </c:numRef>
          </c:val>
        </c:ser>
        <c:ser>
          <c:idx val="2"/>
          <c:order val="2"/>
          <c:tx>
            <c:strRef>
              <c:f>'Pivot Delay'!$D$3</c:f>
              <c:strCache>
                <c:ptCount val="1"/>
                <c:pt idx="0">
                  <c:v>Count of completion_rate</c:v>
                </c:pt>
              </c:strCache>
            </c:strRef>
          </c:tx>
          <c:invertIfNegative val="0"/>
          <c:cat>
            <c:strRef>
              <c:f>'Pivot Delay'!$A$4:$A$15</c:f>
              <c:strCache>
                <c:ptCount val="11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(blank)</c:v>
                </c:pt>
              </c:strCache>
            </c:strRef>
          </c:cat>
          <c:val>
            <c:numRef>
              <c:f>'Pivot Delay'!$D$4:$D$15</c:f>
              <c:numCache>
                <c:formatCode>General</c:formatCode>
                <c:ptCount val="11"/>
                <c:pt idx="0">
                  <c:v>92</c:v>
                </c:pt>
                <c:pt idx="1">
                  <c:v>46</c:v>
                </c:pt>
                <c:pt idx="2">
                  <c:v>48</c:v>
                </c:pt>
                <c:pt idx="3">
                  <c:v>72</c:v>
                </c:pt>
                <c:pt idx="4">
                  <c:v>18</c:v>
                </c:pt>
                <c:pt idx="5">
                  <c:v>72</c:v>
                </c:pt>
                <c:pt idx="6">
                  <c:v>44</c:v>
                </c:pt>
                <c:pt idx="7">
                  <c:v>34</c:v>
                </c:pt>
                <c:pt idx="8">
                  <c:v>47</c:v>
                </c:pt>
                <c:pt idx="9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330496"/>
        <c:axId val="224332032"/>
      </c:barChart>
      <c:catAx>
        <c:axId val="224330496"/>
        <c:scaling>
          <c:orientation val="minMax"/>
        </c:scaling>
        <c:delete val="0"/>
        <c:axPos val="l"/>
        <c:majorTickMark val="out"/>
        <c:minorTickMark val="none"/>
        <c:tickLblPos val="nextTo"/>
        <c:crossAx val="224332032"/>
        <c:crosses val="autoZero"/>
        <c:auto val="1"/>
        <c:lblAlgn val="ctr"/>
        <c:lblOffset val="100"/>
        <c:noMultiLvlLbl val="0"/>
      </c:catAx>
      <c:valAx>
        <c:axId val="2243320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4330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[MetroLink_Analysis.xlsx]Pivot Event!PivotTable7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Event'!$B$3</c:f>
              <c:strCache>
                <c:ptCount val="1"/>
                <c:pt idx="0">
                  <c:v>Count of boarding</c:v>
                </c:pt>
              </c:strCache>
            </c:strRef>
          </c:tx>
          <c:invertIfNegative val="0"/>
          <c:cat>
            <c:strRef>
              <c:f>'Pivot Event'!$A$4:$A$9</c:f>
              <c:strCache>
                <c:ptCount val="5"/>
                <c:pt idx="0">
                  <c:v>Concert</c:v>
                </c:pt>
                <c:pt idx="1">
                  <c:v>Cricket Match</c:v>
                </c:pt>
                <c:pt idx="2">
                  <c:v>Festival</c:v>
                </c:pt>
                <c:pt idx="3">
                  <c:v>No Event</c:v>
                </c:pt>
                <c:pt idx="4">
                  <c:v>(blank)</c:v>
                </c:pt>
              </c:strCache>
            </c:strRef>
          </c:cat>
          <c:val>
            <c:numRef>
              <c:f>'Pivot Event'!$B$4:$B$9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16</c:v>
                </c:pt>
                <c:pt idx="3">
                  <c:v>455</c:v>
                </c:pt>
              </c:numCache>
            </c:numRef>
          </c:val>
        </c:ser>
        <c:ser>
          <c:idx val="1"/>
          <c:order val="1"/>
          <c:tx>
            <c:strRef>
              <c:f>'Pivot Event'!$C$3</c:f>
              <c:strCache>
                <c:ptCount val="1"/>
                <c:pt idx="0">
                  <c:v>Count of boarding2</c:v>
                </c:pt>
              </c:strCache>
            </c:strRef>
          </c:tx>
          <c:invertIfNegative val="0"/>
          <c:cat>
            <c:strRef>
              <c:f>'Pivot Event'!$A$4:$A$9</c:f>
              <c:strCache>
                <c:ptCount val="5"/>
                <c:pt idx="0">
                  <c:v>Concert</c:v>
                </c:pt>
                <c:pt idx="1">
                  <c:v>Cricket Match</c:v>
                </c:pt>
                <c:pt idx="2">
                  <c:v>Festival</c:v>
                </c:pt>
                <c:pt idx="3">
                  <c:v>No Event</c:v>
                </c:pt>
                <c:pt idx="4">
                  <c:v>(blank)</c:v>
                </c:pt>
              </c:strCache>
            </c:strRef>
          </c:cat>
          <c:val>
            <c:numRef>
              <c:f>'Pivot Event'!$C$4:$C$9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16</c:v>
                </c:pt>
                <c:pt idx="3">
                  <c:v>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388992"/>
        <c:axId val="224390528"/>
      </c:barChart>
      <c:catAx>
        <c:axId val="224388992"/>
        <c:scaling>
          <c:orientation val="minMax"/>
        </c:scaling>
        <c:delete val="0"/>
        <c:axPos val="l"/>
        <c:majorTickMark val="out"/>
        <c:minorTickMark val="none"/>
        <c:tickLblPos val="nextTo"/>
        <c:crossAx val="224390528"/>
        <c:crosses val="autoZero"/>
        <c:auto val="1"/>
        <c:lblAlgn val="ctr"/>
        <c:lblOffset val="100"/>
        <c:noMultiLvlLbl val="0"/>
      </c:catAx>
      <c:valAx>
        <c:axId val="2243905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4388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4</xdr:row>
      <xdr:rowOff>155575</xdr:rowOff>
    </xdr:from>
    <xdr:to>
      <xdr:col>10</xdr:col>
      <xdr:colOff>568325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771525</xdr:colOff>
      <xdr:row>4</xdr:row>
      <xdr:rowOff>155575</xdr:rowOff>
    </xdr:from>
    <xdr:to>
      <xdr:col>9</xdr:col>
      <xdr:colOff>22225</xdr:colOff>
      <xdr:row>19</xdr:row>
      <xdr:rowOff>136525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4</xdr:row>
      <xdr:rowOff>155575</xdr:rowOff>
    </xdr:from>
    <xdr:to>
      <xdr:col>10</xdr:col>
      <xdr:colOff>466725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4</xdr:row>
      <xdr:rowOff>155575</xdr:rowOff>
    </xdr:from>
    <xdr:to>
      <xdr:col>10</xdr:col>
      <xdr:colOff>466725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4</xdr:row>
      <xdr:rowOff>41275</xdr:rowOff>
    </xdr:from>
    <xdr:to>
      <xdr:col>11</xdr:col>
      <xdr:colOff>403225</xdr:colOff>
      <xdr:row>19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5</xdr:row>
      <xdr:rowOff>47625</xdr:rowOff>
    </xdr:from>
    <xdr:to>
      <xdr:col>11</xdr:col>
      <xdr:colOff>600075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8.534355555559" createdVersion="4" refreshedVersion="4" minRefreshableVersion="3" recordCount="500">
  <cacheSource type="worksheet">
    <worksheetSource ref="B1:AC501" sheet="Data"/>
  </cacheSource>
  <cacheFields count="28">
    <cacheField name="route" numFmtId="0">
      <sharedItems count="10">
        <s v="R6"/>
        <s v="R7"/>
        <s v="R5"/>
        <s v="R2"/>
        <s v="R8"/>
        <s v="R1"/>
        <s v="R4"/>
        <s v="R10"/>
        <s v="R9"/>
        <s v="R3"/>
      </sharedItems>
    </cacheField>
    <cacheField name="date" numFmtId="14">
      <sharedItems containsSemiMixedTypes="0" containsNonDate="0" containsDate="1" containsString="0" minDate="2025-01-01T00:00:00" maxDate="2025-03-02T00:00:00"/>
    </cacheField>
    <cacheField name="weekday" numFmtId="0">
      <sharedItems/>
    </cacheField>
    <cacheField name="start_time" numFmtId="20">
      <sharedItems containsSemiMixedTypes="0" containsNonDate="0" containsDate="1" containsString="0" minDate="1899-12-30T05:00:00" maxDate="1899-12-30T22:45:00"/>
    </cacheField>
    <cacheField name="stop_id" numFmtId="0">
      <sharedItems/>
    </cacheField>
    <cacheField name="boarding" numFmtId="0">
      <sharedItems containsSemiMixedTypes="0" containsString="0" containsNumber="1" minValue="19" maxValue="122.625"/>
    </cacheField>
    <cacheField name="alighting" numFmtId="0">
      <sharedItems containsSemiMixedTypes="0" containsString="0" containsNumber="1" containsInteger="1" minValue="18" maxValue="127"/>
    </cacheField>
    <cacheField name="distance_km" numFmtId="0">
      <sharedItems containsSemiMixedTypes="0" containsString="0" containsNumber="1" minValue="6.8" maxValue="18.399999999999999"/>
    </cacheField>
    <cacheField name="stop_count" numFmtId="0">
      <sharedItems containsSemiMixedTypes="0" containsString="0" containsNumber="1" containsInteger="1" minValue="12" maxValue="32"/>
    </cacheField>
    <cacheField name="corridor" numFmtId="0">
      <sharedItems/>
    </cacheField>
    <cacheField name="holiday" numFmtId="0">
      <sharedItems containsSemiMixedTypes="0" containsString="0" containsNumber="1" containsInteger="1" minValue="0" maxValue="1"/>
    </cacheField>
    <cacheField name="event" numFmtId="0">
      <sharedItems/>
    </cacheField>
    <cacheField name="scheduled_trips" numFmtId="0">
      <sharedItems containsSemiMixedTypes="0" containsString="0" containsNumber="1" containsInteger="1" minValue="18" maxValue="39"/>
    </cacheField>
    <cacheField name="completed_trips" numFmtId="0">
      <sharedItems containsSemiMixedTypes="0" containsString="0" containsNumber="1" containsInteger="1" minValue="15" maxValue="39"/>
    </cacheField>
    <cacheField name="delay_min" numFmtId="0">
      <sharedItems containsSemiMixedTypes="0" containsString="0" containsNumber="1" minValue="0.1" maxValue="21.4"/>
    </cacheField>
    <cacheField name="delay_missing" numFmtId="0">
      <sharedItems containsSemiMixedTypes="0" containsString="0" containsNumber="1" containsInteger="1" minValue="0" maxValue="1"/>
    </cacheField>
    <cacheField name="hour" numFmtId="0">
      <sharedItems containsSemiMixedTypes="0" containsString="0" containsNumber="1" containsInteger="1" minValue="5" maxValue="22"/>
    </cacheField>
    <cacheField name="month" numFmtId="0">
      <sharedItems containsSemiMixedTypes="0" containsString="0" containsNumber="1" containsInteger="1" minValue="1" maxValue="3"/>
    </cacheField>
    <cacheField name="day_of_week" numFmtId="0">
      <sharedItems containsSemiMixedTypes="0" containsString="0" containsNumber="1" containsInteger="1" minValue="0" maxValue="6"/>
    </cacheField>
    <cacheField name="is_weekend" numFmtId="0">
      <sharedItems containsSemiMixedTypes="0" containsString="0" containsNumber="1" containsInteger="1" minValue="0" maxValue="1"/>
    </cacheField>
    <cacheField name="peak_period" numFmtId="0">
      <sharedItems/>
    </cacheField>
    <cacheField name="is_event_day" numFmtId="0">
      <sharedItems containsSemiMixedTypes="0" containsString="0" containsNumber="1" containsInteger="1" minValue="0" maxValue="1"/>
    </cacheField>
    <cacheField name="completion_rate" numFmtId="0">
      <sharedItems containsSemiMixedTypes="0" containsString="0" containsNumber="1" minValue="0.78260869565217395" maxValue="1"/>
    </cacheField>
    <cacheField name="delay_flag" numFmtId="0">
      <sharedItems containsSemiMixedTypes="0" containsString="0" containsNumber="1" containsInteger="1" minValue="0" maxValue="1"/>
    </cacheField>
    <cacheField name="boardings_per_stop" numFmtId="0">
      <sharedItems containsSemiMixedTypes="0" containsString="0" containsNumber="1" minValue="0.85714285714285698" maxValue="6.8333333333333304"/>
    </cacheField>
    <cacheField name="boardings_per_km" numFmtId="0">
      <sharedItems containsSemiMixedTypes="0" containsString="0" containsNumber="1" minValue="1.52" maxValue="12.058823529411701"/>
    </cacheField>
    <cacheField name="net_load" numFmtId="0">
      <sharedItems containsSemiMixedTypes="0" containsString="0" containsNumber="1" minValue="-4.375" maxValue="91.625"/>
    </cacheField>
    <cacheField name="route_avg_delay" numFmtId="0">
      <sharedItems containsSemiMixedTypes="0" containsString="0" containsNumber="1" minValue="2.7611111111111102" maxValue="9.474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308.544892592596" createdVersion="4" refreshedVersion="4" minRefreshableVersion="3" recordCount="501">
  <cacheSource type="worksheet">
    <worksheetSource ref="A1:AC1048576" sheet="Data"/>
  </cacheSource>
  <cacheFields count="29">
    <cacheField name="trip_id" numFmtId="0">
      <sharedItems containsBlank="1"/>
    </cacheField>
    <cacheField name="route" numFmtId="0">
      <sharedItems containsBlank="1" count="11">
        <s v="R6"/>
        <s v="R7"/>
        <s v="R5"/>
        <s v="R2"/>
        <s v="R8"/>
        <s v="R1"/>
        <s v="R4"/>
        <s v="R10"/>
        <s v="R9"/>
        <s v="R3"/>
        <m/>
      </sharedItems>
    </cacheField>
    <cacheField name="date" numFmtId="0">
      <sharedItems containsNonDate="0" containsDate="1" containsString="0" containsBlank="1" minDate="2025-01-01T00:00:00" maxDate="2025-03-02T00:00:00"/>
    </cacheField>
    <cacheField name="weekday" numFmtId="0">
      <sharedItems containsBlank="1"/>
    </cacheField>
    <cacheField name="start_time" numFmtId="0">
      <sharedItems containsNonDate="0" containsDate="1" containsString="0" containsBlank="1" minDate="1899-12-30T05:00:00" maxDate="1899-12-30T22:45:00"/>
    </cacheField>
    <cacheField name="stop_id" numFmtId="0">
      <sharedItems containsBlank="1" count="25">
        <s v="S25"/>
        <s v="S20"/>
        <s v="S01"/>
        <s v="S06"/>
        <s v="S15"/>
        <s v="S18"/>
        <s v="S13"/>
        <s v="S19"/>
        <s v="S09"/>
        <s v="S21"/>
        <s v="S12"/>
        <s v="S14"/>
        <s v="S08"/>
        <s v="S07"/>
        <s v="S03"/>
        <s v="S23"/>
        <s v="S22"/>
        <s v="UNKNOWN"/>
        <s v="S16"/>
        <s v="S10"/>
        <s v="S04"/>
        <s v="S11"/>
        <s v="S24"/>
        <s v="S05"/>
        <m/>
      </sharedItems>
    </cacheField>
    <cacheField name="boarding" numFmtId="0">
      <sharedItems containsString="0" containsBlank="1" containsNumber="1" minValue="19" maxValue="122.625"/>
    </cacheField>
    <cacheField name="alighting" numFmtId="0">
      <sharedItems containsString="0" containsBlank="1" containsNumber="1" containsInteger="1" minValue="18" maxValue="127"/>
    </cacheField>
    <cacheField name="distance_km" numFmtId="0">
      <sharedItems containsString="0" containsBlank="1" containsNumber="1" minValue="6.8" maxValue="18.399999999999999"/>
    </cacheField>
    <cacheField name="stop_count" numFmtId="0">
      <sharedItems containsString="0" containsBlank="1" containsNumber="1" containsInteger="1" minValue="12" maxValue="32"/>
    </cacheField>
    <cacheField name="corridor" numFmtId="0">
      <sharedItems containsBlank="1"/>
    </cacheField>
    <cacheField name="holiday" numFmtId="0">
      <sharedItems containsString="0" containsBlank="1" containsNumber="1" containsInteger="1" minValue="0" maxValue="1"/>
    </cacheField>
    <cacheField name="event" numFmtId="0">
      <sharedItems containsBlank="1" count="5">
        <s v="No Event"/>
        <s v="Cricket Match"/>
        <s v="Festival"/>
        <s v="Concert"/>
        <m/>
      </sharedItems>
    </cacheField>
    <cacheField name="scheduled_trips" numFmtId="0">
      <sharedItems containsString="0" containsBlank="1" containsNumber="1" containsInteger="1" minValue="18" maxValue="39"/>
    </cacheField>
    <cacheField name="completed_trips" numFmtId="0">
      <sharedItems containsString="0" containsBlank="1" containsNumber="1" containsInteger="1" minValue="15" maxValue="39"/>
    </cacheField>
    <cacheField name="delay_min" numFmtId="0">
      <sharedItems containsString="0" containsBlank="1" containsNumber="1" minValue="0.1" maxValue="21.4"/>
    </cacheField>
    <cacheField name="delay_missing" numFmtId="0">
      <sharedItems containsString="0" containsBlank="1" containsNumber="1" containsInteger="1" minValue="0" maxValue="1"/>
    </cacheField>
    <cacheField name="hour" numFmtId="0">
      <sharedItems containsString="0" containsBlank="1" containsNumber="1" containsInteger="1" minValue="5" maxValue="22"/>
    </cacheField>
    <cacheField name="month" numFmtId="0">
      <sharedItems containsString="0" containsBlank="1" containsNumber="1" containsInteger="1" minValue="1" maxValue="3"/>
    </cacheField>
    <cacheField name="day_of_week" numFmtId="0">
      <sharedItems containsString="0" containsBlank="1" containsNumber="1" containsInteger="1" minValue="0" maxValue="6"/>
    </cacheField>
    <cacheField name="is_weekend" numFmtId="0">
      <sharedItems containsString="0" containsBlank="1" containsNumber="1" containsInteger="1" minValue="0" maxValue="1" count="3">
        <n v="1"/>
        <n v="0"/>
        <m/>
      </sharedItems>
    </cacheField>
    <cacheField name="peak_period" numFmtId="0">
      <sharedItems containsBlank="1" count="4">
        <s v="Off-Peak"/>
        <s v="Evening Peak"/>
        <s v="Morning Peak"/>
        <m/>
      </sharedItems>
    </cacheField>
    <cacheField name="is_event_day" numFmtId="0">
      <sharedItems containsString="0" containsBlank="1" containsNumber="1" containsInteger="1" minValue="0" maxValue="1"/>
    </cacheField>
    <cacheField name="completion_rate" numFmtId="0">
      <sharedItems containsString="0" containsBlank="1" containsNumber="1" minValue="0.78260869565217395" maxValue="1"/>
    </cacheField>
    <cacheField name="delay_flag" numFmtId="0">
      <sharedItems containsString="0" containsBlank="1" containsNumber="1" containsInteger="1" minValue="0" maxValue="1"/>
    </cacheField>
    <cacheField name="boardings_per_stop" numFmtId="0">
      <sharedItems containsString="0" containsBlank="1" containsNumber="1" minValue="0.85714285714285698" maxValue="6.8333333333333304"/>
    </cacheField>
    <cacheField name="boardings_per_km" numFmtId="0">
      <sharedItems containsString="0" containsBlank="1" containsNumber="1" minValue="1.52" maxValue="12.058823529411701"/>
    </cacheField>
    <cacheField name="net_load" numFmtId="0">
      <sharedItems containsString="0" containsBlank="1" containsNumber="1" minValue="-4.375" maxValue="91.625"/>
    </cacheField>
    <cacheField name="route_avg_delay" numFmtId="0">
      <sharedItems containsString="0" containsBlank="1" containsNumber="1" minValue="2.7611111111111102" maxValue="9.474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d v="2025-01-05T00:00:00"/>
    <s v="Sunday"/>
    <d v="1899-12-30T06:15:00"/>
    <s v="S25"/>
    <n v="31"/>
    <n v="28"/>
    <n v="10.1"/>
    <n v="19"/>
    <s v="West"/>
    <n v="0"/>
    <s v="No Event"/>
    <n v="34"/>
    <n v="34"/>
    <n v="0.8"/>
    <n v="0"/>
    <n v="6"/>
    <n v="1"/>
    <n v="6"/>
    <n v="1"/>
    <s v="Off-Peak"/>
    <n v="0"/>
    <n v="1"/>
    <n v="0"/>
    <n v="1.6315789473684199"/>
    <n v="3.06930693069306"/>
    <n v="3"/>
    <n v="3.6613636363636299"/>
  </r>
  <r>
    <x v="1"/>
    <d v="2025-01-31T00:00:00"/>
    <s v="Friday"/>
    <d v="1899-12-30T17:45:00"/>
    <s v="S20"/>
    <n v="88"/>
    <n v="87"/>
    <n v="9.5"/>
    <n v="17"/>
    <s v="North"/>
    <n v="0"/>
    <s v="No Event"/>
    <n v="35"/>
    <n v="33"/>
    <n v="0.4"/>
    <n v="0"/>
    <n v="17"/>
    <n v="1"/>
    <n v="4"/>
    <n v="0"/>
    <s v="Evening Peak"/>
    <n v="0"/>
    <n v="0.94285714285714195"/>
    <n v="0"/>
    <n v="5.1764705882352899"/>
    <n v="9.2631578947368407"/>
    <n v="1"/>
    <n v="3.8470588235294101"/>
  </r>
  <r>
    <x v="2"/>
    <d v="2025-02-25T00:00:00"/>
    <s v="Tuesday"/>
    <d v="1899-12-30T09:15:00"/>
    <s v="S01"/>
    <n v="69"/>
    <n v="64"/>
    <n v="18.399999999999999"/>
    <n v="32"/>
    <s v="East"/>
    <n v="0"/>
    <s v="No Event"/>
    <n v="19"/>
    <n v="16"/>
    <n v="7.8"/>
    <n v="0"/>
    <n v="9"/>
    <n v="2"/>
    <n v="1"/>
    <n v="0"/>
    <s v="Morning Peak"/>
    <n v="0"/>
    <n v="0.84210526315789402"/>
    <n v="1"/>
    <n v="2.15625"/>
    <n v="3.75"/>
    <n v="5"/>
    <n v="8.6013888888888896"/>
  </r>
  <r>
    <x v="3"/>
    <d v="2025-01-11T00:00:00"/>
    <s v="Saturday"/>
    <d v="1899-12-30T15:30:00"/>
    <s v="S25"/>
    <n v="34"/>
    <n v="31"/>
    <n v="8.1999999999999993"/>
    <n v="15"/>
    <s v="Central"/>
    <n v="0"/>
    <s v="Cricket Match"/>
    <n v="38"/>
    <n v="37"/>
    <n v="3.2"/>
    <n v="0"/>
    <n v="15"/>
    <n v="1"/>
    <n v="5"/>
    <n v="1"/>
    <s v="Off-Peak"/>
    <n v="1"/>
    <n v="0.97368421052631504"/>
    <n v="0"/>
    <n v="2.2666666666666599"/>
    <n v="4.1463414634146298"/>
    <n v="3"/>
    <n v="3.6937500000000001"/>
  </r>
  <r>
    <x v="0"/>
    <d v="2025-01-09T00:00:00"/>
    <s v="Thursday"/>
    <d v="1899-12-30T11:00:00"/>
    <s v="S06"/>
    <n v="45"/>
    <n v="45"/>
    <n v="10.1"/>
    <n v="19"/>
    <s v="West"/>
    <n v="0"/>
    <s v="No Event"/>
    <n v="24"/>
    <n v="22"/>
    <n v="3"/>
    <n v="0"/>
    <n v="11"/>
    <n v="1"/>
    <n v="3"/>
    <n v="0"/>
    <s v="Off-Peak"/>
    <n v="0"/>
    <n v="0.91666666666666596"/>
    <n v="0"/>
    <n v="2.3684210526315699"/>
    <n v="4.4554455445544496"/>
    <n v="0"/>
    <n v="3.6613636363636299"/>
  </r>
  <r>
    <x v="4"/>
    <d v="2025-01-23T00:00:00"/>
    <s v="Thursday"/>
    <d v="1899-12-30T07:00:00"/>
    <s v="S15"/>
    <n v="120"/>
    <n v="112"/>
    <n v="14.2"/>
    <n v="25"/>
    <s v="East"/>
    <n v="0"/>
    <s v="No Event"/>
    <n v="20"/>
    <n v="17"/>
    <n v="5"/>
    <n v="0"/>
    <n v="7"/>
    <n v="1"/>
    <n v="3"/>
    <n v="0"/>
    <s v="Morning Peak"/>
    <n v="0"/>
    <n v="0.85"/>
    <n v="0"/>
    <n v="4.8"/>
    <n v="8.4507042253521103"/>
    <n v="8"/>
    <n v="8.3255319148936096"/>
  </r>
  <r>
    <x v="5"/>
    <d v="2025-01-07T00:00:00"/>
    <s v="Tuesday"/>
    <d v="1899-12-30T06:30:00"/>
    <s v="S18"/>
    <n v="56"/>
    <n v="49"/>
    <n v="12.5"/>
    <n v="22"/>
    <s v="Central"/>
    <n v="0"/>
    <s v="No Event"/>
    <n v="25"/>
    <n v="25"/>
    <n v="2.7"/>
    <n v="1"/>
    <n v="6"/>
    <n v="1"/>
    <n v="1"/>
    <n v="0"/>
    <s v="Off-Peak"/>
    <n v="0"/>
    <n v="1"/>
    <n v="0"/>
    <n v="2.5454545454545401"/>
    <n v="4.4800000000000004"/>
    <n v="7"/>
    <n v="3.4760869565217298"/>
  </r>
  <r>
    <x v="5"/>
    <d v="2025-01-05T00:00:00"/>
    <s v="Sunday"/>
    <d v="1899-12-30T07:15:00"/>
    <s v="S13"/>
    <n v="55"/>
    <n v="55"/>
    <n v="12.5"/>
    <n v="22"/>
    <s v="Central"/>
    <n v="0"/>
    <s v="No Event"/>
    <n v="19"/>
    <n v="18"/>
    <n v="4.4000000000000004"/>
    <n v="0"/>
    <n v="7"/>
    <n v="1"/>
    <n v="6"/>
    <n v="1"/>
    <s v="Morning Peak"/>
    <n v="0"/>
    <n v="0.94736842105263097"/>
    <n v="0"/>
    <n v="2.5"/>
    <n v="4.4000000000000004"/>
    <n v="0"/>
    <n v="3.4760869565217298"/>
  </r>
  <r>
    <x v="6"/>
    <d v="2025-01-12T00:00:00"/>
    <s v="Sunday"/>
    <d v="1899-12-30T08:15:00"/>
    <s v="S06"/>
    <n v="34"/>
    <n v="33"/>
    <n v="6.8"/>
    <n v="12"/>
    <s v="South"/>
    <n v="0"/>
    <s v="No Event"/>
    <n v="38"/>
    <n v="37"/>
    <n v="1.5"/>
    <n v="0"/>
    <n v="8"/>
    <n v="1"/>
    <n v="6"/>
    <n v="1"/>
    <s v="Morning Peak"/>
    <n v="0"/>
    <n v="0.97368421052631504"/>
    <n v="0"/>
    <n v="2.8333333333333299"/>
    <n v="5"/>
    <n v="1"/>
    <n v="2.7611111111111102"/>
  </r>
  <r>
    <x v="5"/>
    <d v="2025-01-25T00:00:00"/>
    <s v="Saturday"/>
    <d v="1899-12-30T05:00:00"/>
    <s v="S19"/>
    <n v="50"/>
    <n v="45"/>
    <n v="12.5"/>
    <n v="22"/>
    <s v="Central"/>
    <n v="0"/>
    <s v="Festival"/>
    <n v="19"/>
    <n v="18"/>
    <n v="0.9"/>
    <n v="0"/>
    <n v="5"/>
    <n v="1"/>
    <n v="5"/>
    <n v="1"/>
    <s v="Off-Peak"/>
    <n v="1"/>
    <n v="0.94736842105263097"/>
    <n v="0"/>
    <n v="2.2727272727272698"/>
    <n v="4"/>
    <n v="5"/>
    <n v="3.4760869565217298"/>
  </r>
  <r>
    <x v="0"/>
    <d v="2025-02-25T00:00:00"/>
    <s v="Tuesday"/>
    <d v="1899-12-30T16:30:00"/>
    <s v="S01"/>
    <n v="44"/>
    <n v="38"/>
    <n v="10.1"/>
    <n v="19"/>
    <s v="West"/>
    <n v="0"/>
    <s v="No Event"/>
    <n v="39"/>
    <n v="38"/>
    <n v="6"/>
    <n v="0"/>
    <n v="16"/>
    <n v="2"/>
    <n v="1"/>
    <n v="0"/>
    <s v="Off-Peak"/>
    <n v="0"/>
    <n v="0.97435897435897401"/>
    <n v="1"/>
    <n v="2.3157894736842102"/>
    <n v="4.3564356435643496"/>
    <n v="6"/>
    <n v="3.6613636363636299"/>
  </r>
  <r>
    <x v="7"/>
    <d v="2025-02-04T00:00:00"/>
    <s v="Tuesday"/>
    <d v="1899-12-30T11:00:00"/>
    <s v="S09"/>
    <n v="29"/>
    <n v="27"/>
    <n v="11.6"/>
    <n v="21"/>
    <s v="West"/>
    <n v="0"/>
    <s v="No Event"/>
    <n v="36"/>
    <n v="35"/>
    <n v="1.2"/>
    <n v="0"/>
    <n v="11"/>
    <n v="2"/>
    <n v="1"/>
    <n v="0"/>
    <s v="Off-Peak"/>
    <n v="0"/>
    <n v="0.97222222222222199"/>
    <n v="0"/>
    <n v="1.38095238095238"/>
    <n v="2.5"/>
    <n v="2"/>
    <n v="2.80217391304347"/>
  </r>
  <r>
    <x v="4"/>
    <d v="2025-01-10T00:00:00"/>
    <s v="Friday"/>
    <d v="1899-12-30T07:15:00"/>
    <s v="S09"/>
    <n v="71"/>
    <n v="62"/>
    <n v="14.2"/>
    <n v="25"/>
    <s v="East"/>
    <n v="0"/>
    <s v="No Event"/>
    <n v="23"/>
    <n v="20"/>
    <n v="9.1"/>
    <n v="0"/>
    <n v="7"/>
    <n v="1"/>
    <n v="4"/>
    <n v="0"/>
    <s v="Morning Peak"/>
    <n v="0"/>
    <n v="0.86956521739130399"/>
    <n v="1"/>
    <n v="2.84"/>
    <n v="5"/>
    <n v="9"/>
    <n v="8.3255319148936096"/>
  </r>
  <r>
    <x v="5"/>
    <d v="2025-01-07T00:00:00"/>
    <s v="Tuesday"/>
    <d v="1899-12-30T08:00:00"/>
    <s v="S21"/>
    <n v="87"/>
    <n v="76"/>
    <n v="12.5"/>
    <n v="22"/>
    <s v="Central"/>
    <n v="0"/>
    <s v="No Event"/>
    <n v="25"/>
    <n v="25"/>
    <n v="2.7"/>
    <n v="1"/>
    <n v="8"/>
    <n v="1"/>
    <n v="1"/>
    <n v="0"/>
    <s v="Morning Peak"/>
    <n v="0"/>
    <n v="1"/>
    <n v="0"/>
    <n v="3.9545454545454501"/>
    <n v="6.96"/>
    <n v="11"/>
    <n v="3.4760869565217298"/>
  </r>
  <r>
    <x v="2"/>
    <d v="2025-01-15T00:00:00"/>
    <s v="Wednesday"/>
    <d v="1899-12-30T06:00:00"/>
    <s v="S01"/>
    <n v="70"/>
    <n v="66"/>
    <n v="18.399999999999999"/>
    <n v="32"/>
    <s v="East"/>
    <n v="0"/>
    <s v="No Event"/>
    <n v="30"/>
    <n v="26"/>
    <n v="5.7"/>
    <n v="0"/>
    <n v="6"/>
    <n v="1"/>
    <n v="2"/>
    <n v="0"/>
    <s v="Off-Peak"/>
    <n v="0"/>
    <n v="0.86666666666666603"/>
    <n v="1"/>
    <n v="2.1875"/>
    <n v="3.8043478260869499"/>
    <n v="4"/>
    <n v="8.6013888888888896"/>
  </r>
  <r>
    <x v="7"/>
    <d v="2025-01-17T00:00:00"/>
    <s v="Friday"/>
    <d v="1899-12-30T07:30:00"/>
    <s v="S12"/>
    <n v="70"/>
    <n v="68"/>
    <n v="11.6"/>
    <n v="21"/>
    <s v="West"/>
    <n v="0"/>
    <s v="No Event"/>
    <n v="37"/>
    <n v="37"/>
    <n v="3.1"/>
    <n v="0"/>
    <n v="7"/>
    <n v="1"/>
    <n v="4"/>
    <n v="0"/>
    <s v="Morning Peak"/>
    <n v="0"/>
    <n v="1"/>
    <n v="0"/>
    <n v="3.3333333333333299"/>
    <n v="6.0344827586206797"/>
    <n v="2"/>
    <n v="2.80217391304347"/>
  </r>
  <r>
    <x v="3"/>
    <d v="2025-02-04T00:00:00"/>
    <s v="Tuesday"/>
    <d v="1899-12-30T05:15:00"/>
    <s v="S14"/>
    <n v="42"/>
    <n v="36"/>
    <n v="8.1999999999999993"/>
    <n v="15"/>
    <s v="Central"/>
    <n v="0"/>
    <s v="No Event"/>
    <n v="28"/>
    <n v="28"/>
    <n v="4.2"/>
    <n v="0"/>
    <n v="5"/>
    <n v="2"/>
    <n v="1"/>
    <n v="0"/>
    <s v="Off-Peak"/>
    <n v="0"/>
    <n v="1"/>
    <n v="0"/>
    <n v="2.8"/>
    <n v="5.1219512195121899"/>
    <n v="6"/>
    <n v="3.6937500000000001"/>
  </r>
  <r>
    <x v="7"/>
    <d v="2025-02-26T00:00:00"/>
    <s v="Wednesday"/>
    <d v="1899-12-30T15:45:00"/>
    <s v="S08"/>
    <n v="43"/>
    <n v="43"/>
    <n v="11.6"/>
    <n v="21"/>
    <s v="West"/>
    <n v="0"/>
    <s v="No Event"/>
    <n v="30"/>
    <n v="29"/>
    <n v="4"/>
    <n v="0"/>
    <n v="15"/>
    <n v="2"/>
    <n v="2"/>
    <n v="0"/>
    <s v="Off-Peak"/>
    <n v="0"/>
    <n v="0.96666666666666601"/>
    <n v="0"/>
    <n v="2.0476190476190399"/>
    <n v="3.7068965517241299"/>
    <n v="0"/>
    <n v="2.80217391304347"/>
  </r>
  <r>
    <x v="4"/>
    <d v="2025-01-22T00:00:00"/>
    <s v="Wednesday"/>
    <d v="1899-12-30T20:00:00"/>
    <s v="S19"/>
    <n v="60"/>
    <n v="59"/>
    <n v="14.2"/>
    <n v="25"/>
    <s v="East"/>
    <n v="0"/>
    <s v="No Event"/>
    <n v="35"/>
    <n v="31"/>
    <n v="9.8000000000000007"/>
    <n v="0"/>
    <n v="20"/>
    <n v="1"/>
    <n v="2"/>
    <n v="0"/>
    <s v="Off-Peak"/>
    <n v="0"/>
    <n v="0.88571428571428501"/>
    <n v="1"/>
    <n v="2.4"/>
    <n v="4.2253521126760498"/>
    <n v="1"/>
    <n v="8.3255319148936096"/>
  </r>
  <r>
    <x v="2"/>
    <d v="2025-02-10T00:00:00"/>
    <s v="Monday"/>
    <d v="1899-12-30T06:30:00"/>
    <s v="S21"/>
    <n v="74"/>
    <n v="65"/>
    <n v="18.399999999999999"/>
    <n v="32"/>
    <s v="East"/>
    <n v="0"/>
    <s v="No Event"/>
    <n v="30"/>
    <n v="28"/>
    <n v="5"/>
    <n v="0"/>
    <n v="6"/>
    <n v="2"/>
    <n v="0"/>
    <n v="0"/>
    <s v="Off-Peak"/>
    <n v="0"/>
    <n v="0.93333333333333302"/>
    <n v="0"/>
    <n v="2.3125"/>
    <n v="4.0217391304347796"/>
    <n v="9"/>
    <n v="8.6013888888888896"/>
  </r>
  <r>
    <x v="3"/>
    <d v="2025-01-04T00:00:00"/>
    <s v="Saturday"/>
    <d v="1899-12-30T13:15:00"/>
    <s v="S07"/>
    <n v="21"/>
    <n v="21"/>
    <n v="8.1999999999999993"/>
    <n v="15"/>
    <s v="Central"/>
    <n v="0"/>
    <s v="No Event"/>
    <n v="24"/>
    <n v="23"/>
    <n v="5.6"/>
    <n v="0"/>
    <n v="13"/>
    <n v="1"/>
    <n v="5"/>
    <n v="1"/>
    <s v="Off-Peak"/>
    <n v="0"/>
    <n v="0.95833333333333304"/>
    <n v="1"/>
    <n v="1.4"/>
    <n v="2.5609756097560901"/>
    <n v="0"/>
    <n v="3.6937500000000001"/>
  </r>
  <r>
    <x v="2"/>
    <d v="2025-02-28T00:00:00"/>
    <s v="Friday"/>
    <d v="1899-12-30T08:15:00"/>
    <s v="S20"/>
    <n v="122"/>
    <n v="106"/>
    <n v="18.399999999999999"/>
    <n v="32"/>
    <s v="East"/>
    <n v="0"/>
    <s v="No Event"/>
    <n v="23"/>
    <n v="20"/>
    <n v="11"/>
    <n v="0"/>
    <n v="8"/>
    <n v="2"/>
    <n v="4"/>
    <n v="0"/>
    <s v="Morning Peak"/>
    <n v="0"/>
    <n v="0.86956521739130399"/>
    <n v="1"/>
    <n v="3.8125"/>
    <n v="6.63043478260869"/>
    <n v="16"/>
    <n v="8.6013888888888896"/>
  </r>
  <r>
    <x v="0"/>
    <d v="2025-01-17T00:00:00"/>
    <s v="Friday"/>
    <d v="1899-12-30T13:15:00"/>
    <s v="S20"/>
    <n v="50"/>
    <n v="46"/>
    <n v="10.1"/>
    <n v="19"/>
    <s v="West"/>
    <n v="0"/>
    <s v="No Event"/>
    <n v="19"/>
    <n v="18"/>
    <n v="2.9"/>
    <n v="0"/>
    <n v="13"/>
    <n v="1"/>
    <n v="4"/>
    <n v="0"/>
    <s v="Off-Peak"/>
    <n v="0"/>
    <n v="0.94736842105263097"/>
    <n v="0"/>
    <n v="2.6315789473684199"/>
    <n v="4.9504950495049496"/>
    <n v="4"/>
    <n v="3.6613636363636299"/>
  </r>
  <r>
    <x v="4"/>
    <d v="2025-02-08T00:00:00"/>
    <s v="Saturday"/>
    <d v="1899-12-30T16:15:00"/>
    <s v="S14"/>
    <n v="53"/>
    <n v="52"/>
    <n v="14.2"/>
    <n v="25"/>
    <s v="East"/>
    <n v="0"/>
    <s v="Cricket Match"/>
    <n v="34"/>
    <n v="30"/>
    <n v="14.8"/>
    <n v="0"/>
    <n v="16"/>
    <n v="2"/>
    <n v="5"/>
    <n v="1"/>
    <s v="Off-Peak"/>
    <n v="1"/>
    <n v="0.88235294117647001"/>
    <n v="1"/>
    <n v="2.12"/>
    <n v="3.7323943661971799"/>
    <n v="1"/>
    <n v="8.3255319148936096"/>
  </r>
  <r>
    <x v="3"/>
    <d v="2025-01-04T00:00:00"/>
    <s v="Saturday"/>
    <d v="1899-12-30T07:45:00"/>
    <s v="S01"/>
    <n v="54"/>
    <n v="52"/>
    <n v="8.1999999999999993"/>
    <n v="15"/>
    <s v="Central"/>
    <n v="0"/>
    <s v="No Event"/>
    <n v="24"/>
    <n v="23"/>
    <n v="5.6"/>
    <n v="0"/>
    <n v="7"/>
    <n v="1"/>
    <n v="5"/>
    <n v="1"/>
    <s v="Morning Peak"/>
    <n v="0"/>
    <n v="0.95833333333333304"/>
    <n v="1"/>
    <n v="3.6"/>
    <n v="6.58536585365853"/>
    <n v="2"/>
    <n v="3.6937500000000001"/>
  </r>
  <r>
    <x v="6"/>
    <d v="2025-01-25T00:00:00"/>
    <s v="Saturday"/>
    <d v="1899-12-30T09:45:00"/>
    <s v="S20"/>
    <n v="69"/>
    <n v="68"/>
    <n v="6.8"/>
    <n v="12"/>
    <s v="South"/>
    <n v="0"/>
    <s v="Festival"/>
    <n v="22"/>
    <n v="22"/>
    <n v="1.3"/>
    <n v="0"/>
    <n v="9"/>
    <n v="1"/>
    <n v="5"/>
    <n v="1"/>
    <s v="Morning Peak"/>
    <n v="1"/>
    <n v="1"/>
    <n v="0"/>
    <n v="5.75"/>
    <n v="10.147058823529401"/>
    <n v="1"/>
    <n v="2.7611111111111102"/>
  </r>
  <r>
    <x v="1"/>
    <d v="2025-02-09T00:00:00"/>
    <s v="Sunday"/>
    <d v="1899-12-30T08:00:00"/>
    <s v="S06"/>
    <n v="49"/>
    <n v="46"/>
    <n v="9.5"/>
    <n v="17"/>
    <s v="North"/>
    <n v="0"/>
    <s v="No Event"/>
    <n v="31"/>
    <n v="30"/>
    <n v="4.5999999999999996"/>
    <n v="0"/>
    <n v="8"/>
    <n v="2"/>
    <n v="6"/>
    <n v="1"/>
    <s v="Morning Peak"/>
    <n v="0"/>
    <n v="0.967741935483871"/>
    <n v="0"/>
    <n v="2.8823529411764701"/>
    <n v="5.1578947368421"/>
    <n v="3"/>
    <n v="3.8470588235294101"/>
  </r>
  <r>
    <x v="1"/>
    <d v="2025-02-08T00:00:00"/>
    <s v="Saturday"/>
    <d v="1899-12-30T18:45:00"/>
    <s v="S03"/>
    <n v="83"/>
    <n v="73"/>
    <n v="9.5"/>
    <n v="17"/>
    <s v="North"/>
    <n v="0"/>
    <s v="Cricket Match"/>
    <n v="28"/>
    <n v="26"/>
    <n v="0.6"/>
    <n v="0"/>
    <n v="18"/>
    <n v="2"/>
    <n v="5"/>
    <n v="1"/>
    <s v="Evening Peak"/>
    <n v="1"/>
    <n v="0.92857142857142805"/>
    <n v="0"/>
    <n v="4.8823529411764701"/>
    <n v="8.7368421052631504"/>
    <n v="10"/>
    <n v="3.8470588235294101"/>
  </r>
  <r>
    <x v="7"/>
    <d v="2025-01-17T00:00:00"/>
    <s v="Friday"/>
    <d v="1899-12-30T07:15:00"/>
    <s v="S14"/>
    <n v="96"/>
    <n v="90"/>
    <n v="11.6"/>
    <n v="21"/>
    <s v="West"/>
    <n v="0"/>
    <s v="No Event"/>
    <n v="37"/>
    <n v="37"/>
    <n v="3.1"/>
    <n v="0"/>
    <n v="7"/>
    <n v="1"/>
    <n v="4"/>
    <n v="0"/>
    <s v="Morning Peak"/>
    <n v="0"/>
    <n v="1"/>
    <n v="0"/>
    <n v="4.5714285714285703"/>
    <n v="8.2758620689655107"/>
    <n v="6"/>
    <n v="2.80217391304347"/>
  </r>
  <r>
    <x v="2"/>
    <d v="2025-01-17T00:00:00"/>
    <s v="Friday"/>
    <d v="1899-12-30T16:30:00"/>
    <s v="S23"/>
    <n v="67"/>
    <n v="61"/>
    <n v="18.399999999999999"/>
    <n v="32"/>
    <s v="East"/>
    <n v="0"/>
    <s v="No Event"/>
    <n v="18"/>
    <n v="15"/>
    <n v="9.6999999999999993"/>
    <n v="0"/>
    <n v="16"/>
    <n v="1"/>
    <n v="4"/>
    <n v="0"/>
    <s v="Off-Peak"/>
    <n v="0"/>
    <n v="0.83333333333333304"/>
    <n v="1"/>
    <n v="2.09375"/>
    <n v="3.6413043478260798"/>
    <n v="6"/>
    <n v="8.6013888888888896"/>
  </r>
  <r>
    <x v="8"/>
    <d v="2025-01-14T00:00:00"/>
    <s v="Tuesday"/>
    <d v="1899-12-30T17:45:00"/>
    <s v="S06"/>
    <n v="54"/>
    <n v="51"/>
    <n v="7.3"/>
    <n v="13"/>
    <s v="South"/>
    <n v="1"/>
    <s v="No Event"/>
    <n v="19"/>
    <n v="19"/>
    <n v="10.4"/>
    <n v="0"/>
    <n v="17"/>
    <n v="1"/>
    <n v="1"/>
    <n v="0"/>
    <s v="Evening Peak"/>
    <n v="0"/>
    <n v="1"/>
    <n v="1"/>
    <n v="4.1538461538461497"/>
    <n v="7.3972602739726003"/>
    <n v="3"/>
    <n v="4.0518518518518496"/>
  </r>
  <r>
    <x v="2"/>
    <d v="2025-02-21T00:00:00"/>
    <s v="Friday"/>
    <d v="1899-12-30T09:15:00"/>
    <s v="S22"/>
    <n v="110"/>
    <n v="106"/>
    <n v="18.399999999999999"/>
    <n v="32"/>
    <s v="East"/>
    <n v="0"/>
    <s v="No Event"/>
    <n v="37"/>
    <n v="30"/>
    <n v="11.2"/>
    <n v="0"/>
    <n v="9"/>
    <n v="2"/>
    <n v="4"/>
    <n v="0"/>
    <s v="Morning Peak"/>
    <n v="0"/>
    <n v="0.81081081081080997"/>
    <n v="1"/>
    <n v="3.4375"/>
    <n v="5.9782608695652097"/>
    <n v="4"/>
    <n v="8.6013888888888896"/>
  </r>
  <r>
    <x v="9"/>
    <d v="2025-01-21T00:00:00"/>
    <s v="Tuesday"/>
    <d v="1899-12-30T16:00:00"/>
    <s v="UNKNOWN"/>
    <n v="54"/>
    <n v="48"/>
    <n v="15"/>
    <n v="28"/>
    <s v="North"/>
    <n v="0"/>
    <s v="No Event"/>
    <n v="27"/>
    <n v="23"/>
    <n v="6.2"/>
    <n v="0"/>
    <n v="16"/>
    <n v="1"/>
    <n v="1"/>
    <n v="0"/>
    <s v="Off-Peak"/>
    <n v="0"/>
    <n v="0.85185185185185097"/>
    <n v="1"/>
    <n v="1.9285714285714199"/>
    <n v="3.6"/>
    <n v="6"/>
    <n v="9.4749999999999996"/>
  </r>
  <r>
    <x v="2"/>
    <d v="2025-02-06T00:00:00"/>
    <s v="Thursday"/>
    <d v="1899-12-30T08:15:00"/>
    <s v="S20"/>
    <n v="120"/>
    <n v="111"/>
    <n v="18.399999999999999"/>
    <n v="32"/>
    <s v="East"/>
    <n v="0"/>
    <s v="No Event"/>
    <n v="23"/>
    <n v="21"/>
    <n v="9.1999999999999993"/>
    <n v="0"/>
    <n v="8"/>
    <n v="2"/>
    <n v="3"/>
    <n v="0"/>
    <s v="Morning Peak"/>
    <n v="0"/>
    <n v="0.91304347826086896"/>
    <n v="1"/>
    <n v="3.75"/>
    <n v="6.5217391304347796"/>
    <n v="9"/>
    <n v="8.6013888888888896"/>
  </r>
  <r>
    <x v="5"/>
    <d v="2025-01-20T00:00:00"/>
    <s v="Monday"/>
    <d v="1899-12-30T08:30:00"/>
    <s v="S16"/>
    <n v="89"/>
    <n v="84"/>
    <n v="12.5"/>
    <n v="22"/>
    <s v="Central"/>
    <n v="0"/>
    <s v="No Event"/>
    <n v="35"/>
    <n v="33"/>
    <n v="2.1"/>
    <n v="0"/>
    <n v="8"/>
    <n v="1"/>
    <n v="0"/>
    <n v="0"/>
    <s v="Morning Peak"/>
    <n v="0"/>
    <n v="0.94285714285714195"/>
    <n v="0"/>
    <n v="4.0454545454545396"/>
    <n v="7.12"/>
    <n v="5"/>
    <n v="3.4760869565217298"/>
  </r>
  <r>
    <x v="5"/>
    <d v="2025-01-14T00:00:00"/>
    <s v="Tuesday"/>
    <d v="1899-12-30T06:45:00"/>
    <s v="S20"/>
    <n v="39"/>
    <n v="37"/>
    <n v="12.5"/>
    <n v="22"/>
    <s v="Central"/>
    <n v="1"/>
    <s v="No Event"/>
    <n v="20"/>
    <n v="19"/>
    <n v="2"/>
    <n v="0"/>
    <n v="6"/>
    <n v="1"/>
    <n v="1"/>
    <n v="0"/>
    <s v="Off-Peak"/>
    <n v="0"/>
    <n v="0.95"/>
    <n v="0"/>
    <n v="1.77272727272727"/>
    <n v="3.12"/>
    <n v="2"/>
    <n v="3.4760869565217298"/>
  </r>
  <r>
    <x v="2"/>
    <d v="2025-02-10T00:00:00"/>
    <s v="Monday"/>
    <d v="1899-12-30T09:15:00"/>
    <s v="S06"/>
    <n v="111"/>
    <n v="95"/>
    <n v="18.399999999999999"/>
    <n v="32"/>
    <s v="East"/>
    <n v="0"/>
    <s v="No Event"/>
    <n v="30"/>
    <n v="28"/>
    <n v="5"/>
    <n v="0"/>
    <n v="9"/>
    <n v="2"/>
    <n v="0"/>
    <n v="0"/>
    <s v="Morning Peak"/>
    <n v="0"/>
    <n v="0.93333333333333302"/>
    <n v="0"/>
    <n v="3.46875"/>
    <n v="6.0326086956521703"/>
    <n v="16"/>
    <n v="8.6013888888888896"/>
  </r>
  <r>
    <x v="5"/>
    <d v="2025-02-28T00:00:00"/>
    <s v="Friday"/>
    <d v="1899-12-30T13:30:00"/>
    <s v="S20"/>
    <n v="43"/>
    <n v="41"/>
    <n v="12.5"/>
    <n v="22"/>
    <s v="Central"/>
    <n v="0"/>
    <s v="No Event"/>
    <n v="38"/>
    <n v="36"/>
    <n v="0.6"/>
    <n v="0"/>
    <n v="13"/>
    <n v="2"/>
    <n v="4"/>
    <n v="0"/>
    <s v="Off-Peak"/>
    <n v="0"/>
    <n v="0.94736842105263097"/>
    <n v="0"/>
    <n v="1.9545454545454499"/>
    <n v="3.44"/>
    <n v="2"/>
    <n v="3.4760869565217298"/>
  </r>
  <r>
    <x v="9"/>
    <d v="2025-01-02T00:00:00"/>
    <s v="Thursday"/>
    <d v="1899-12-30T07:45:00"/>
    <s v="S01"/>
    <n v="102"/>
    <n v="94"/>
    <n v="15"/>
    <n v="28"/>
    <s v="North"/>
    <n v="0"/>
    <s v="No Event"/>
    <n v="21"/>
    <n v="18"/>
    <n v="7.9"/>
    <n v="0"/>
    <n v="7"/>
    <n v="1"/>
    <n v="3"/>
    <n v="0"/>
    <s v="Morning Peak"/>
    <n v="0"/>
    <n v="0.85714285714285698"/>
    <n v="1"/>
    <n v="3.6428571428571401"/>
    <n v="6.8"/>
    <n v="8"/>
    <n v="9.4749999999999996"/>
  </r>
  <r>
    <x v="5"/>
    <d v="2025-01-13T00:00:00"/>
    <s v="Monday"/>
    <d v="1899-12-30T14:15:00"/>
    <s v="S01"/>
    <n v="44"/>
    <n v="44"/>
    <n v="12.5"/>
    <n v="22"/>
    <s v="Central"/>
    <n v="0"/>
    <s v="No Event"/>
    <n v="36"/>
    <n v="34"/>
    <n v="1.2"/>
    <n v="0"/>
    <n v="14"/>
    <n v="1"/>
    <n v="0"/>
    <n v="0"/>
    <s v="Off-Peak"/>
    <n v="0"/>
    <n v="0.94444444444444398"/>
    <n v="0"/>
    <n v="2"/>
    <n v="3.52"/>
    <n v="0"/>
    <n v="3.4760869565217298"/>
  </r>
  <r>
    <x v="0"/>
    <d v="2025-02-14T00:00:00"/>
    <s v="Friday"/>
    <d v="1899-12-30T16:00:00"/>
    <s v="S07"/>
    <n v="43"/>
    <n v="39"/>
    <n v="10.1"/>
    <n v="19"/>
    <s v="West"/>
    <n v="0"/>
    <s v="No Event"/>
    <n v="29"/>
    <n v="29"/>
    <n v="3.3"/>
    <n v="1"/>
    <n v="16"/>
    <n v="2"/>
    <n v="4"/>
    <n v="0"/>
    <s v="Off-Peak"/>
    <n v="0"/>
    <n v="1"/>
    <n v="0"/>
    <n v="2.2631578947368398"/>
    <n v="4.2574257425742497"/>
    <n v="4"/>
    <n v="3.6613636363636299"/>
  </r>
  <r>
    <x v="2"/>
    <d v="2025-01-10T00:00:00"/>
    <s v="Friday"/>
    <d v="1899-12-30T11:15:00"/>
    <s v="S20"/>
    <n v="54"/>
    <n v="47"/>
    <n v="18.399999999999999"/>
    <n v="32"/>
    <s v="East"/>
    <n v="0"/>
    <s v="No Event"/>
    <n v="28"/>
    <n v="23"/>
    <n v="8.8000000000000007"/>
    <n v="1"/>
    <n v="11"/>
    <n v="1"/>
    <n v="4"/>
    <n v="0"/>
    <s v="Off-Peak"/>
    <n v="0"/>
    <n v="0.82142857142857095"/>
    <n v="1"/>
    <n v="1.6875"/>
    <n v="2.9347826086956501"/>
    <n v="7"/>
    <n v="8.6013888888888896"/>
  </r>
  <r>
    <x v="2"/>
    <d v="2025-02-27T00:00:00"/>
    <s v="Thursday"/>
    <d v="1899-12-30T10:45:00"/>
    <s v="S10"/>
    <n v="62"/>
    <n v="60"/>
    <n v="18.399999999999999"/>
    <n v="32"/>
    <s v="East"/>
    <n v="0"/>
    <s v="No Event"/>
    <n v="33"/>
    <n v="30"/>
    <n v="4.9000000000000004"/>
    <n v="0"/>
    <n v="10"/>
    <n v="2"/>
    <n v="3"/>
    <n v="0"/>
    <s v="Off-Peak"/>
    <n v="0"/>
    <n v="0.90909090909090895"/>
    <n v="0"/>
    <n v="1.9375"/>
    <n v="3.3695652173913002"/>
    <n v="2"/>
    <n v="8.6013888888888896"/>
  </r>
  <r>
    <x v="5"/>
    <d v="2025-01-11T00:00:00"/>
    <s v="Saturday"/>
    <d v="1899-12-30T13:00:00"/>
    <s v="S25"/>
    <n v="32"/>
    <n v="32"/>
    <n v="12.5"/>
    <n v="22"/>
    <s v="Central"/>
    <n v="0"/>
    <s v="Cricket Match"/>
    <n v="39"/>
    <n v="37"/>
    <n v="1.4"/>
    <n v="0"/>
    <n v="13"/>
    <n v="1"/>
    <n v="5"/>
    <n v="1"/>
    <s v="Off-Peak"/>
    <n v="1"/>
    <n v="0.94871794871794801"/>
    <n v="0"/>
    <n v="1.4545454545454499"/>
    <n v="2.56"/>
    <n v="0"/>
    <n v="3.4760869565217298"/>
  </r>
  <r>
    <x v="5"/>
    <d v="2025-01-29T00:00:00"/>
    <s v="Wednesday"/>
    <d v="1899-12-30T15:15:00"/>
    <s v="S20"/>
    <n v="49"/>
    <n v="42"/>
    <n v="12.5"/>
    <n v="22"/>
    <s v="Central"/>
    <n v="0"/>
    <s v="No Event"/>
    <n v="33"/>
    <n v="31"/>
    <n v="2.7"/>
    <n v="0"/>
    <n v="15"/>
    <n v="1"/>
    <n v="2"/>
    <n v="0"/>
    <s v="Off-Peak"/>
    <n v="0"/>
    <n v="0.939393939393939"/>
    <n v="0"/>
    <n v="2.22727272727272"/>
    <n v="3.92"/>
    <n v="7"/>
    <n v="3.4760869565217298"/>
  </r>
  <r>
    <x v="8"/>
    <d v="2025-02-18T00:00:00"/>
    <s v="Tuesday"/>
    <d v="1899-12-30T20:45:00"/>
    <s v="S23"/>
    <n v="28"/>
    <n v="26"/>
    <n v="7.3"/>
    <n v="13"/>
    <s v="South"/>
    <n v="0"/>
    <s v="No Event"/>
    <n v="27"/>
    <n v="26"/>
    <n v="1"/>
    <n v="0"/>
    <n v="20"/>
    <n v="2"/>
    <n v="1"/>
    <n v="0"/>
    <s v="Off-Peak"/>
    <n v="0"/>
    <n v="0.96296296296296202"/>
    <n v="0"/>
    <n v="2.1538461538461502"/>
    <n v="3.8356164383561602"/>
    <n v="2"/>
    <n v="4.0518518518518496"/>
  </r>
  <r>
    <x v="0"/>
    <d v="2025-01-22T00:00:00"/>
    <s v="Wednesday"/>
    <d v="1899-12-30T07:30:00"/>
    <s v="S18"/>
    <n v="59"/>
    <n v="55"/>
    <n v="10.1"/>
    <n v="19"/>
    <s v="West"/>
    <n v="0"/>
    <s v="No Event"/>
    <n v="24"/>
    <n v="24"/>
    <n v="1.6"/>
    <n v="0"/>
    <n v="7"/>
    <n v="1"/>
    <n v="2"/>
    <n v="0"/>
    <s v="Morning Peak"/>
    <n v="0"/>
    <n v="1"/>
    <n v="0"/>
    <n v="3.1052631578947301"/>
    <n v="5.8415841584158397"/>
    <n v="4"/>
    <n v="3.6613636363636299"/>
  </r>
  <r>
    <x v="0"/>
    <d v="2025-01-10T00:00:00"/>
    <s v="Friday"/>
    <d v="1899-12-30T12:00:00"/>
    <s v="S04"/>
    <n v="63"/>
    <n v="55"/>
    <n v="10.1"/>
    <n v="19"/>
    <s v="West"/>
    <n v="0"/>
    <s v="No Event"/>
    <n v="39"/>
    <n v="37"/>
    <n v="5.2"/>
    <n v="0"/>
    <n v="12"/>
    <n v="1"/>
    <n v="4"/>
    <n v="0"/>
    <s v="Off-Peak"/>
    <n v="0"/>
    <n v="0.94871794871794801"/>
    <n v="1"/>
    <n v="3.3157894736842102"/>
    <n v="6.2376237623762298"/>
    <n v="8"/>
    <n v="3.6613636363636299"/>
  </r>
  <r>
    <x v="3"/>
    <d v="2025-01-22T00:00:00"/>
    <s v="Wednesday"/>
    <d v="1899-12-30T10:15:00"/>
    <s v="S15"/>
    <n v="28"/>
    <n v="28"/>
    <n v="8.1999999999999993"/>
    <n v="15"/>
    <s v="Central"/>
    <n v="0"/>
    <s v="No Event"/>
    <n v="37"/>
    <n v="37"/>
    <n v="4.8"/>
    <n v="0"/>
    <n v="10"/>
    <n v="1"/>
    <n v="2"/>
    <n v="0"/>
    <s v="Off-Peak"/>
    <n v="0"/>
    <n v="1"/>
    <n v="0"/>
    <n v="1.86666666666666"/>
    <n v="3.4146341463414598"/>
    <n v="0"/>
    <n v="3.6937500000000001"/>
  </r>
  <r>
    <x v="7"/>
    <d v="2025-01-14T00:00:00"/>
    <s v="Tuesday"/>
    <d v="1899-12-30T21:45:00"/>
    <s v="S19"/>
    <n v="34"/>
    <n v="30"/>
    <n v="11.6"/>
    <n v="21"/>
    <s v="West"/>
    <n v="1"/>
    <s v="No Event"/>
    <n v="23"/>
    <n v="22"/>
    <n v="0.8"/>
    <n v="0"/>
    <n v="21"/>
    <n v="1"/>
    <n v="1"/>
    <n v="0"/>
    <s v="Off-Peak"/>
    <n v="0"/>
    <n v="0.95652173913043403"/>
    <n v="0"/>
    <n v="1.61904761904761"/>
    <n v="2.9310344827586201"/>
    <n v="4"/>
    <n v="2.80217391304347"/>
  </r>
  <r>
    <x v="5"/>
    <d v="2025-02-01T00:00:00"/>
    <s v="Saturday"/>
    <d v="1899-12-30T08:15:00"/>
    <s v="S20"/>
    <n v="57"/>
    <n v="52"/>
    <n v="12.5"/>
    <n v="22"/>
    <s v="Central"/>
    <n v="0"/>
    <s v="No Event"/>
    <n v="32"/>
    <n v="30"/>
    <n v="2.2999999999999998"/>
    <n v="0"/>
    <n v="8"/>
    <n v="2"/>
    <n v="5"/>
    <n v="1"/>
    <s v="Morning Peak"/>
    <n v="0"/>
    <n v="0.9375"/>
    <n v="0"/>
    <n v="2.5909090909090899"/>
    <n v="4.5599999999999996"/>
    <n v="5"/>
    <n v="3.4760869565217298"/>
  </r>
  <r>
    <x v="9"/>
    <d v="2025-01-22T00:00:00"/>
    <s v="Wednesday"/>
    <d v="1899-12-30T14:45:00"/>
    <s v="S09"/>
    <n v="42"/>
    <n v="37"/>
    <n v="15"/>
    <n v="28"/>
    <s v="North"/>
    <n v="0"/>
    <s v="No Event"/>
    <n v="33"/>
    <n v="27"/>
    <n v="4.2"/>
    <n v="0"/>
    <n v="14"/>
    <n v="1"/>
    <n v="2"/>
    <n v="0"/>
    <s v="Off-Peak"/>
    <n v="0"/>
    <n v="0.81818181818181801"/>
    <n v="0"/>
    <n v="1.5"/>
    <n v="2.8"/>
    <n v="5"/>
    <n v="9.4749999999999996"/>
  </r>
  <r>
    <x v="7"/>
    <d v="2025-01-11T00:00:00"/>
    <s v="Saturday"/>
    <d v="1899-12-30T12:15:00"/>
    <s v="S20"/>
    <n v="52"/>
    <n v="46"/>
    <n v="11.6"/>
    <n v="21"/>
    <s v="West"/>
    <n v="0"/>
    <s v="Cricket Match"/>
    <n v="23"/>
    <n v="22"/>
    <n v="1.4"/>
    <n v="0"/>
    <n v="12"/>
    <n v="1"/>
    <n v="5"/>
    <n v="1"/>
    <s v="Off-Peak"/>
    <n v="1"/>
    <n v="0.95652173913043403"/>
    <n v="0"/>
    <n v="2.4761904761904701"/>
    <n v="4.4827586206896504"/>
    <n v="6"/>
    <n v="2.80217391304347"/>
  </r>
  <r>
    <x v="4"/>
    <d v="2025-01-12T00:00:00"/>
    <s v="Sunday"/>
    <d v="1899-12-30T16:45:00"/>
    <s v="S19"/>
    <n v="27"/>
    <n v="26"/>
    <n v="14.2"/>
    <n v="25"/>
    <s v="East"/>
    <n v="0"/>
    <s v="No Event"/>
    <n v="23"/>
    <n v="18"/>
    <n v="7.6"/>
    <n v="0"/>
    <n v="16"/>
    <n v="1"/>
    <n v="6"/>
    <n v="1"/>
    <s v="Off-Peak"/>
    <n v="0"/>
    <n v="0.78260869565217395"/>
    <n v="1"/>
    <n v="1.08"/>
    <n v="1.9014084507042199"/>
    <n v="1"/>
    <n v="8.3255319148936096"/>
  </r>
  <r>
    <x v="5"/>
    <d v="2025-01-01T00:00:00"/>
    <s v="Wednesday"/>
    <d v="1899-12-30T07:45:00"/>
    <s v="S06"/>
    <n v="102"/>
    <n v="98"/>
    <n v="12.5"/>
    <n v="22"/>
    <s v="Central"/>
    <n v="1"/>
    <s v="No Event"/>
    <n v="39"/>
    <n v="38"/>
    <n v="1.6"/>
    <n v="0"/>
    <n v="7"/>
    <n v="1"/>
    <n v="2"/>
    <n v="0"/>
    <s v="Morning Peak"/>
    <n v="0"/>
    <n v="0.97435897435897401"/>
    <n v="0"/>
    <n v="4.6363636363636296"/>
    <n v="8.16"/>
    <n v="4"/>
    <n v="3.4760869565217298"/>
  </r>
  <r>
    <x v="2"/>
    <d v="2025-02-25T00:00:00"/>
    <s v="Tuesday"/>
    <d v="1899-12-30T15:00:00"/>
    <s v="S23"/>
    <n v="49"/>
    <n v="43"/>
    <n v="18.399999999999999"/>
    <n v="32"/>
    <s v="East"/>
    <n v="0"/>
    <s v="No Event"/>
    <n v="19"/>
    <n v="16"/>
    <n v="7.8"/>
    <n v="0"/>
    <n v="15"/>
    <n v="2"/>
    <n v="1"/>
    <n v="0"/>
    <s v="Off-Peak"/>
    <n v="0"/>
    <n v="0.84210526315789402"/>
    <n v="1"/>
    <n v="1.53125"/>
    <n v="2.6630434782608599"/>
    <n v="6"/>
    <n v="8.6013888888888896"/>
  </r>
  <r>
    <x v="9"/>
    <d v="2025-02-17T00:00:00"/>
    <s v="Monday"/>
    <d v="1899-12-30T16:15:00"/>
    <s v="UNKNOWN"/>
    <n v="59"/>
    <n v="54"/>
    <n v="15"/>
    <n v="28"/>
    <s v="North"/>
    <n v="0"/>
    <s v="No Event"/>
    <n v="32"/>
    <n v="27"/>
    <n v="8.8000000000000007"/>
    <n v="0"/>
    <n v="16"/>
    <n v="2"/>
    <n v="0"/>
    <n v="0"/>
    <s v="Off-Peak"/>
    <n v="0"/>
    <n v="0.84375"/>
    <n v="1"/>
    <n v="2.1071428571428501"/>
    <n v="3.93333333333333"/>
    <n v="5"/>
    <n v="9.4749999999999996"/>
  </r>
  <r>
    <x v="8"/>
    <d v="2025-02-01T00:00:00"/>
    <s v="Saturday"/>
    <d v="1899-12-30T15:30:00"/>
    <s v="S01"/>
    <n v="24"/>
    <n v="22"/>
    <n v="7.3"/>
    <n v="13"/>
    <s v="South"/>
    <n v="0"/>
    <s v="No Event"/>
    <n v="38"/>
    <n v="37"/>
    <n v="2.4"/>
    <n v="0"/>
    <n v="15"/>
    <n v="2"/>
    <n v="5"/>
    <n v="1"/>
    <s v="Off-Peak"/>
    <n v="0"/>
    <n v="0.97368421052631504"/>
    <n v="0"/>
    <n v="1.84615384615384"/>
    <n v="3.2876712328767099"/>
    <n v="2"/>
    <n v="4.0518518518518496"/>
  </r>
  <r>
    <x v="6"/>
    <d v="2025-02-28T00:00:00"/>
    <s v="Friday"/>
    <d v="1899-12-30T07:15:00"/>
    <s v="S11"/>
    <n v="82"/>
    <n v="75"/>
    <n v="6.8"/>
    <n v="12"/>
    <s v="South"/>
    <n v="0"/>
    <s v="No Event"/>
    <n v="24"/>
    <n v="23"/>
    <n v="1.4"/>
    <n v="0"/>
    <n v="7"/>
    <n v="2"/>
    <n v="4"/>
    <n v="0"/>
    <s v="Morning Peak"/>
    <n v="0"/>
    <n v="0.95833333333333304"/>
    <n v="0"/>
    <n v="6.8333333333333304"/>
    <n v="12.058823529411701"/>
    <n v="7"/>
    <n v="2.7611111111111102"/>
  </r>
  <r>
    <x v="3"/>
    <d v="2025-02-25T00:00:00"/>
    <s v="Tuesday"/>
    <d v="1899-12-30T09:45:00"/>
    <s v="S19"/>
    <n v="77"/>
    <n v="76"/>
    <n v="8.1999999999999993"/>
    <n v="15"/>
    <s v="Central"/>
    <n v="0"/>
    <s v="No Event"/>
    <n v="29"/>
    <n v="28"/>
    <n v="2.6"/>
    <n v="0"/>
    <n v="9"/>
    <n v="2"/>
    <n v="1"/>
    <n v="0"/>
    <s v="Morning Peak"/>
    <n v="0"/>
    <n v="0.96551724137931005"/>
    <n v="0"/>
    <n v="5.1333333333333302"/>
    <n v="9.3902439024390194"/>
    <n v="1"/>
    <n v="3.6937500000000001"/>
  </r>
  <r>
    <x v="7"/>
    <d v="2025-01-06T00:00:00"/>
    <s v="Monday"/>
    <d v="1899-12-30T22:45:00"/>
    <s v="S01"/>
    <n v="44"/>
    <n v="41"/>
    <n v="11.6"/>
    <n v="21"/>
    <s v="West"/>
    <n v="0"/>
    <s v="No Event"/>
    <n v="24"/>
    <n v="24"/>
    <n v="4.8"/>
    <n v="0"/>
    <n v="22"/>
    <n v="1"/>
    <n v="0"/>
    <n v="0"/>
    <s v="Off-Peak"/>
    <n v="0"/>
    <n v="1"/>
    <n v="0"/>
    <n v="2.09523809523809"/>
    <n v="3.7931034482758599"/>
    <n v="3"/>
    <n v="2.80217391304347"/>
  </r>
  <r>
    <x v="0"/>
    <d v="2025-02-21T00:00:00"/>
    <s v="Friday"/>
    <d v="1899-12-30T21:30:00"/>
    <s v="S25"/>
    <n v="47"/>
    <n v="43"/>
    <n v="10.1"/>
    <n v="19"/>
    <s v="West"/>
    <n v="0"/>
    <s v="No Event"/>
    <n v="32"/>
    <n v="30"/>
    <n v="6.1"/>
    <n v="0"/>
    <n v="21"/>
    <n v="2"/>
    <n v="4"/>
    <n v="0"/>
    <s v="Off-Peak"/>
    <n v="0"/>
    <n v="0.9375"/>
    <n v="1"/>
    <n v="2.4736842105263102"/>
    <n v="4.6534653465346496"/>
    <n v="4"/>
    <n v="3.6613636363636299"/>
  </r>
  <r>
    <x v="3"/>
    <d v="2025-01-05T00:00:00"/>
    <s v="Sunday"/>
    <d v="1899-12-30T17:00:00"/>
    <s v="UNKNOWN"/>
    <n v="48"/>
    <n v="42"/>
    <n v="8.1999999999999993"/>
    <n v="15"/>
    <s v="Central"/>
    <n v="0"/>
    <s v="No Event"/>
    <n v="25"/>
    <n v="25"/>
    <n v="0.5"/>
    <n v="0"/>
    <n v="17"/>
    <n v="1"/>
    <n v="6"/>
    <n v="1"/>
    <s v="Evening Peak"/>
    <n v="0"/>
    <n v="1"/>
    <n v="0"/>
    <n v="3.2"/>
    <n v="5.8536585365853604"/>
    <n v="6"/>
    <n v="3.6937500000000001"/>
  </r>
  <r>
    <x v="7"/>
    <d v="2025-01-20T00:00:00"/>
    <s v="Monday"/>
    <d v="1899-12-30T20:15:00"/>
    <s v="S16"/>
    <n v="39"/>
    <n v="35"/>
    <n v="11.6"/>
    <n v="21"/>
    <s v="West"/>
    <n v="0"/>
    <s v="No Event"/>
    <n v="25"/>
    <n v="25"/>
    <n v="2.8"/>
    <n v="1"/>
    <n v="20"/>
    <n v="1"/>
    <n v="0"/>
    <n v="0"/>
    <s v="Off-Peak"/>
    <n v="0"/>
    <n v="1"/>
    <n v="0"/>
    <n v="1.8571428571428501"/>
    <n v="3.3620689655172402"/>
    <n v="4"/>
    <n v="2.80217391304347"/>
  </r>
  <r>
    <x v="4"/>
    <d v="2025-01-09T00:00:00"/>
    <s v="Thursday"/>
    <d v="1899-12-30T05:15:00"/>
    <s v="S06"/>
    <n v="122.625"/>
    <n v="31"/>
    <n v="14.2"/>
    <n v="25"/>
    <s v="East"/>
    <n v="0"/>
    <s v="No Event"/>
    <n v="19"/>
    <n v="17"/>
    <n v="9.9"/>
    <n v="0"/>
    <n v="5"/>
    <n v="1"/>
    <n v="3"/>
    <n v="0"/>
    <s v="Off-Peak"/>
    <n v="0"/>
    <n v="0.89473684210526305"/>
    <n v="1"/>
    <n v="4.9050000000000002"/>
    <n v="8.63556338028169"/>
    <n v="91.625"/>
    <n v="8.3255319148936096"/>
  </r>
  <r>
    <x v="5"/>
    <d v="2025-01-05T00:00:00"/>
    <s v="Sunday"/>
    <d v="1899-12-30T09:15:00"/>
    <s v="S20"/>
    <n v="65"/>
    <n v="60"/>
    <n v="12.5"/>
    <n v="22"/>
    <s v="Central"/>
    <n v="0"/>
    <s v="No Event"/>
    <n v="19"/>
    <n v="18"/>
    <n v="4.4000000000000004"/>
    <n v="0"/>
    <n v="9"/>
    <n v="1"/>
    <n v="6"/>
    <n v="1"/>
    <s v="Morning Peak"/>
    <n v="0"/>
    <n v="0.94736842105263097"/>
    <n v="0"/>
    <n v="2.9545454545454501"/>
    <n v="5.2"/>
    <n v="5"/>
    <n v="3.4760869565217298"/>
  </r>
  <r>
    <x v="4"/>
    <d v="2025-02-09T00:00:00"/>
    <s v="Sunday"/>
    <d v="1899-12-30T17:00:00"/>
    <s v="S25"/>
    <n v="61"/>
    <n v="55"/>
    <n v="14.2"/>
    <n v="25"/>
    <s v="East"/>
    <n v="0"/>
    <s v="No Event"/>
    <n v="37"/>
    <n v="31"/>
    <n v="12.3"/>
    <n v="0"/>
    <n v="17"/>
    <n v="2"/>
    <n v="6"/>
    <n v="1"/>
    <s v="Evening Peak"/>
    <n v="0"/>
    <n v="0.83783783783783705"/>
    <n v="1"/>
    <n v="2.44"/>
    <n v="4.2957746478873204"/>
    <n v="6"/>
    <n v="8.3255319148936096"/>
  </r>
  <r>
    <x v="7"/>
    <d v="2025-02-21T00:00:00"/>
    <s v="Friday"/>
    <d v="1899-12-30T07:00:00"/>
    <s v="S25"/>
    <n v="92"/>
    <n v="84"/>
    <n v="11.6"/>
    <n v="21"/>
    <s v="West"/>
    <n v="0"/>
    <s v="No Event"/>
    <n v="22"/>
    <n v="21"/>
    <n v="0.2"/>
    <n v="0"/>
    <n v="7"/>
    <n v="2"/>
    <n v="4"/>
    <n v="0"/>
    <s v="Morning Peak"/>
    <n v="0"/>
    <n v="0.95454545454545403"/>
    <n v="0"/>
    <n v="4.3809523809523796"/>
    <n v="7.9310344827586201"/>
    <n v="8"/>
    <n v="2.80217391304347"/>
  </r>
  <r>
    <x v="9"/>
    <d v="2025-01-18T00:00:00"/>
    <s v="Saturday"/>
    <d v="1899-12-30T22:45:00"/>
    <s v="S01"/>
    <n v="56"/>
    <n v="49"/>
    <n v="15"/>
    <n v="28"/>
    <s v="North"/>
    <n v="0"/>
    <s v="Concert"/>
    <n v="30"/>
    <n v="28"/>
    <n v="9.1"/>
    <n v="0"/>
    <n v="22"/>
    <n v="1"/>
    <n v="5"/>
    <n v="1"/>
    <s v="Off-Peak"/>
    <n v="1"/>
    <n v="0.93333333333333302"/>
    <n v="1"/>
    <n v="2"/>
    <n v="3.7333333333333298"/>
    <n v="7"/>
    <n v="9.4749999999999996"/>
  </r>
  <r>
    <x v="6"/>
    <d v="2025-01-04T00:00:00"/>
    <s v="Saturday"/>
    <d v="1899-12-30T12:30:00"/>
    <s v="S24"/>
    <n v="26"/>
    <n v="25"/>
    <n v="6.8"/>
    <n v="12"/>
    <s v="South"/>
    <n v="0"/>
    <s v="No Event"/>
    <n v="20"/>
    <n v="19"/>
    <n v="2.8"/>
    <n v="1"/>
    <n v="12"/>
    <n v="1"/>
    <n v="5"/>
    <n v="1"/>
    <s v="Off-Peak"/>
    <n v="0"/>
    <n v="0.95"/>
    <n v="0"/>
    <n v="2.1666666666666599"/>
    <n v="3.8235294117646998"/>
    <n v="1"/>
    <n v="2.7611111111111102"/>
  </r>
  <r>
    <x v="5"/>
    <d v="2025-01-18T00:00:00"/>
    <s v="Saturday"/>
    <d v="1899-12-30T06:15:00"/>
    <s v="S14"/>
    <n v="57"/>
    <n v="54"/>
    <n v="12.5"/>
    <n v="22"/>
    <s v="Central"/>
    <n v="0"/>
    <s v="Concert"/>
    <n v="28"/>
    <n v="28"/>
    <n v="5.8"/>
    <n v="0"/>
    <n v="6"/>
    <n v="1"/>
    <n v="5"/>
    <n v="1"/>
    <s v="Off-Peak"/>
    <n v="1"/>
    <n v="1"/>
    <n v="1"/>
    <n v="2.5909090909090899"/>
    <n v="4.5599999999999996"/>
    <n v="3"/>
    <n v="3.4760869565217298"/>
  </r>
  <r>
    <x v="3"/>
    <d v="2025-02-21T00:00:00"/>
    <s v="Friday"/>
    <d v="1899-12-30T14:00:00"/>
    <s v="S25"/>
    <n v="38"/>
    <n v="33"/>
    <n v="8.1999999999999993"/>
    <n v="15"/>
    <s v="Central"/>
    <n v="0"/>
    <s v="No Event"/>
    <n v="36"/>
    <n v="36"/>
    <n v="0.5"/>
    <n v="0"/>
    <n v="14"/>
    <n v="2"/>
    <n v="4"/>
    <n v="0"/>
    <s v="Off-Peak"/>
    <n v="0"/>
    <n v="1"/>
    <n v="0"/>
    <n v="2.5333333333333301"/>
    <n v="4.6341463414634099"/>
    <n v="5"/>
    <n v="3.6937500000000001"/>
  </r>
  <r>
    <x v="4"/>
    <d v="2025-02-12T00:00:00"/>
    <s v="Wednesday"/>
    <d v="1899-12-30T14:15:00"/>
    <s v="S18"/>
    <n v="50"/>
    <n v="46"/>
    <n v="14.2"/>
    <n v="25"/>
    <s v="East"/>
    <n v="0"/>
    <s v="No Event"/>
    <n v="22"/>
    <n v="21"/>
    <n v="5.4"/>
    <n v="0"/>
    <n v="14"/>
    <n v="2"/>
    <n v="2"/>
    <n v="0"/>
    <s v="Off-Peak"/>
    <n v="0"/>
    <n v="0.95454545454545403"/>
    <n v="1"/>
    <n v="2"/>
    <n v="3.52112676056338"/>
    <n v="4"/>
    <n v="8.3255319148936096"/>
  </r>
  <r>
    <x v="2"/>
    <d v="2025-01-08T00:00:00"/>
    <s v="Wednesday"/>
    <d v="1899-12-30T07:00:00"/>
    <s v="S04"/>
    <n v="101"/>
    <n v="92"/>
    <n v="18.399999999999999"/>
    <n v="32"/>
    <s v="East"/>
    <n v="0"/>
    <s v="No Event"/>
    <n v="25"/>
    <n v="24"/>
    <n v="8.8000000000000007"/>
    <n v="1"/>
    <n v="7"/>
    <n v="1"/>
    <n v="2"/>
    <n v="0"/>
    <s v="Morning Peak"/>
    <n v="0"/>
    <n v="0.96"/>
    <n v="1"/>
    <n v="3.15625"/>
    <n v="5.4891304347826004"/>
    <n v="9"/>
    <n v="8.6013888888888896"/>
  </r>
  <r>
    <x v="9"/>
    <d v="2025-01-03T00:00:00"/>
    <s v="Friday"/>
    <d v="1899-12-30T08:30:00"/>
    <s v="S07"/>
    <n v="82"/>
    <n v="79"/>
    <n v="15"/>
    <n v="28"/>
    <s v="North"/>
    <n v="0"/>
    <s v="No Event"/>
    <n v="29"/>
    <n v="26"/>
    <n v="8.6"/>
    <n v="0"/>
    <n v="8"/>
    <n v="1"/>
    <n v="4"/>
    <n v="0"/>
    <s v="Morning Peak"/>
    <n v="0"/>
    <n v="0.89655172413793105"/>
    <n v="1"/>
    <n v="2.9285714285714199"/>
    <n v="5.4666666666666597"/>
    <n v="3"/>
    <n v="9.4749999999999996"/>
  </r>
  <r>
    <x v="5"/>
    <d v="2025-01-06T00:00:00"/>
    <s v="Monday"/>
    <d v="1899-12-30T17:45:00"/>
    <s v="UNKNOWN"/>
    <n v="78"/>
    <n v="76"/>
    <n v="12.5"/>
    <n v="22"/>
    <s v="Central"/>
    <n v="0"/>
    <s v="No Event"/>
    <n v="38"/>
    <n v="35"/>
    <n v="5.9"/>
    <n v="0"/>
    <n v="17"/>
    <n v="1"/>
    <n v="0"/>
    <n v="0"/>
    <s v="Evening Peak"/>
    <n v="0"/>
    <n v="0.92105263157894701"/>
    <n v="1"/>
    <n v="3.5454545454545401"/>
    <n v="6.24"/>
    <n v="2"/>
    <n v="3.4760869565217298"/>
  </r>
  <r>
    <x v="3"/>
    <d v="2025-02-14T00:00:00"/>
    <s v="Friday"/>
    <d v="1899-12-30T06:00:00"/>
    <s v="S10"/>
    <n v="49"/>
    <n v="48"/>
    <n v="8.1999999999999993"/>
    <n v="15"/>
    <s v="Central"/>
    <n v="0"/>
    <s v="No Event"/>
    <n v="36"/>
    <n v="34"/>
    <n v="0.9"/>
    <n v="0"/>
    <n v="6"/>
    <n v="2"/>
    <n v="4"/>
    <n v="0"/>
    <s v="Off-Peak"/>
    <n v="0"/>
    <n v="0.94444444444444398"/>
    <n v="0"/>
    <n v="3.2666666666666599"/>
    <n v="5.9756097560975601"/>
    <n v="1"/>
    <n v="3.6937500000000001"/>
  </r>
  <r>
    <x v="5"/>
    <d v="2025-01-10T00:00:00"/>
    <s v="Friday"/>
    <d v="1899-12-30T15:00:00"/>
    <s v="UNKNOWN"/>
    <n v="54"/>
    <n v="53"/>
    <n v="12.5"/>
    <n v="22"/>
    <s v="Central"/>
    <n v="0"/>
    <s v="No Event"/>
    <n v="22"/>
    <n v="22"/>
    <n v="4.5"/>
    <n v="0"/>
    <n v="15"/>
    <n v="1"/>
    <n v="4"/>
    <n v="0"/>
    <s v="Off-Peak"/>
    <n v="0"/>
    <n v="1"/>
    <n v="0"/>
    <n v="2.4545454545454501"/>
    <n v="4.32"/>
    <n v="1"/>
    <n v="3.4760869565217298"/>
  </r>
  <r>
    <x v="9"/>
    <d v="2025-01-28T00:00:00"/>
    <s v="Tuesday"/>
    <d v="1899-12-30T12:30:00"/>
    <s v="S19"/>
    <n v="45"/>
    <n v="41"/>
    <n v="15"/>
    <n v="28"/>
    <s v="North"/>
    <n v="0"/>
    <s v="No Event"/>
    <n v="18"/>
    <n v="15"/>
    <n v="16.2"/>
    <n v="0"/>
    <n v="12"/>
    <n v="1"/>
    <n v="1"/>
    <n v="0"/>
    <s v="Off-Peak"/>
    <n v="0"/>
    <n v="0.83333333333333304"/>
    <n v="1"/>
    <n v="1.6071428571428501"/>
    <n v="3"/>
    <n v="4"/>
    <n v="9.4749999999999996"/>
  </r>
  <r>
    <x v="5"/>
    <d v="2025-01-22T00:00:00"/>
    <s v="Wednesday"/>
    <d v="1899-12-30T19:15:00"/>
    <s v="S10"/>
    <n v="85"/>
    <n v="75"/>
    <n v="12.5"/>
    <n v="22"/>
    <s v="Central"/>
    <n v="0"/>
    <s v="No Event"/>
    <n v="22"/>
    <n v="21"/>
    <n v="5.6"/>
    <n v="0"/>
    <n v="19"/>
    <n v="1"/>
    <n v="2"/>
    <n v="0"/>
    <s v="Evening Peak"/>
    <n v="0"/>
    <n v="0.95454545454545403"/>
    <n v="1"/>
    <n v="3.8636363636363602"/>
    <n v="6.8"/>
    <n v="10"/>
    <n v="3.4760869565217298"/>
  </r>
  <r>
    <x v="5"/>
    <d v="2025-01-15T00:00:00"/>
    <s v="Wednesday"/>
    <d v="1899-12-30T18:00:00"/>
    <s v="UNKNOWN"/>
    <n v="81"/>
    <n v="72"/>
    <n v="12.5"/>
    <n v="22"/>
    <s v="Central"/>
    <n v="0"/>
    <s v="No Event"/>
    <n v="25"/>
    <n v="24"/>
    <n v="2.7"/>
    <n v="1"/>
    <n v="18"/>
    <n v="1"/>
    <n v="2"/>
    <n v="0"/>
    <s v="Evening Peak"/>
    <n v="0"/>
    <n v="0.96"/>
    <n v="0"/>
    <n v="3.6818181818181799"/>
    <n v="6.48"/>
    <n v="9"/>
    <n v="3.4760869565217298"/>
  </r>
  <r>
    <x v="5"/>
    <d v="2025-02-05T00:00:00"/>
    <s v="Wednesday"/>
    <d v="1899-12-30T08:30:00"/>
    <s v="S16"/>
    <n v="88"/>
    <n v="84"/>
    <n v="12.5"/>
    <n v="22"/>
    <s v="Central"/>
    <n v="0"/>
    <s v="No Event"/>
    <n v="28"/>
    <n v="28"/>
    <n v="1.1000000000000001"/>
    <n v="0"/>
    <n v="8"/>
    <n v="2"/>
    <n v="2"/>
    <n v="0"/>
    <s v="Morning Peak"/>
    <n v="0"/>
    <n v="1"/>
    <n v="0"/>
    <n v="4"/>
    <n v="7.04"/>
    <n v="4"/>
    <n v="3.4760869565217298"/>
  </r>
  <r>
    <x v="2"/>
    <d v="2025-02-28T00:00:00"/>
    <s v="Friday"/>
    <d v="1899-12-30T07:00:00"/>
    <s v="S15"/>
    <n v="122"/>
    <n v="106"/>
    <n v="18.399999999999999"/>
    <n v="32"/>
    <s v="East"/>
    <n v="0"/>
    <s v="No Event"/>
    <n v="23"/>
    <n v="20"/>
    <n v="11"/>
    <n v="0"/>
    <n v="7"/>
    <n v="2"/>
    <n v="4"/>
    <n v="0"/>
    <s v="Morning Peak"/>
    <n v="0"/>
    <n v="0.86956521739130399"/>
    <n v="1"/>
    <n v="3.8125"/>
    <n v="6.63043478260869"/>
    <n v="16"/>
    <n v="8.6013888888888896"/>
  </r>
  <r>
    <x v="4"/>
    <d v="2025-01-22T00:00:00"/>
    <s v="Wednesday"/>
    <d v="1899-12-30T17:45:00"/>
    <s v="S04"/>
    <n v="101"/>
    <n v="91"/>
    <n v="14.2"/>
    <n v="25"/>
    <s v="East"/>
    <n v="0"/>
    <s v="No Event"/>
    <n v="35"/>
    <n v="31"/>
    <n v="9.8000000000000007"/>
    <n v="0"/>
    <n v="17"/>
    <n v="1"/>
    <n v="2"/>
    <n v="0"/>
    <s v="Evening Peak"/>
    <n v="0"/>
    <n v="0.88571428571428501"/>
    <n v="1"/>
    <n v="4.04"/>
    <n v="7.11267605633802"/>
    <n v="10"/>
    <n v="8.3255319148936096"/>
  </r>
  <r>
    <x v="8"/>
    <d v="2025-02-05T00:00:00"/>
    <s v="Wednesday"/>
    <d v="1899-12-30T15:15:00"/>
    <s v="S06"/>
    <n v="35"/>
    <n v="33"/>
    <n v="7.3"/>
    <n v="13"/>
    <s v="South"/>
    <n v="0"/>
    <s v="No Event"/>
    <n v="27"/>
    <n v="27"/>
    <n v="1.6"/>
    <n v="0"/>
    <n v="15"/>
    <n v="2"/>
    <n v="2"/>
    <n v="0"/>
    <s v="Off-Peak"/>
    <n v="0"/>
    <n v="1"/>
    <n v="0"/>
    <n v="2.6923076923076898"/>
    <n v="4.7945205479451998"/>
    <n v="2"/>
    <n v="4.0518518518518496"/>
  </r>
  <r>
    <x v="5"/>
    <d v="2025-02-07T00:00:00"/>
    <s v="Friday"/>
    <d v="1899-12-30T18:30:00"/>
    <s v="S06"/>
    <n v="122.625"/>
    <n v="89"/>
    <n v="12.5"/>
    <n v="22"/>
    <s v="Central"/>
    <n v="0"/>
    <s v="No Event"/>
    <n v="37"/>
    <n v="35"/>
    <n v="2.4"/>
    <n v="0"/>
    <n v="18"/>
    <n v="2"/>
    <n v="4"/>
    <n v="0"/>
    <s v="Evening Peak"/>
    <n v="0"/>
    <n v="0.94594594594594505"/>
    <n v="0"/>
    <n v="5.5738636363636296"/>
    <n v="9.81"/>
    <n v="33.625"/>
    <n v="3.4760869565217298"/>
  </r>
  <r>
    <x v="1"/>
    <d v="2025-02-09T00:00:00"/>
    <s v="Sunday"/>
    <d v="1899-12-30T16:15:00"/>
    <s v="S03"/>
    <n v="30"/>
    <n v="29"/>
    <n v="9.5"/>
    <n v="17"/>
    <s v="North"/>
    <n v="0"/>
    <s v="No Event"/>
    <n v="31"/>
    <n v="30"/>
    <n v="4.5999999999999996"/>
    <n v="0"/>
    <n v="16"/>
    <n v="2"/>
    <n v="6"/>
    <n v="1"/>
    <s v="Off-Peak"/>
    <n v="0"/>
    <n v="0.967741935483871"/>
    <n v="0"/>
    <n v="1.76470588235294"/>
    <n v="3.1578947368421"/>
    <n v="1"/>
    <n v="3.8470588235294101"/>
  </r>
  <r>
    <x v="7"/>
    <d v="2025-01-03T00:00:00"/>
    <s v="Friday"/>
    <d v="1899-12-30T07:15:00"/>
    <s v="S13"/>
    <n v="95"/>
    <n v="88"/>
    <n v="11.6"/>
    <n v="21"/>
    <s v="West"/>
    <n v="0"/>
    <s v="No Event"/>
    <n v="35"/>
    <n v="34"/>
    <n v="4.5999999999999996"/>
    <n v="0"/>
    <n v="7"/>
    <n v="1"/>
    <n v="4"/>
    <n v="0"/>
    <s v="Morning Peak"/>
    <n v="0"/>
    <n v="0.97142857142857097"/>
    <n v="0"/>
    <n v="4.5238095238095202"/>
    <n v="8.18965517241379"/>
    <n v="7"/>
    <n v="2.80217391304347"/>
  </r>
  <r>
    <x v="1"/>
    <d v="2025-01-06T00:00:00"/>
    <s v="Monday"/>
    <d v="1899-12-30T15:30:00"/>
    <s v="S01"/>
    <n v="35"/>
    <n v="31"/>
    <n v="9.5"/>
    <n v="17"/>
    <s v="North"/>
    <n v="0"/>
    <s v="No Event"/>
    <n v="27"/>
    <n v="26"/>
    <n v="0.1"/>
    <n v="0"/>
    <n v="15"/>
    <n v="1"/>
    <n v="0"/>
    <n v="0"/>
    <s v="Off-Peak"/>
    <n v="0"/>
    <n v="0.96296296296296202"/>
    <n v="0"/>
    <n v="2.0588235294117601"/>
    <n v="3.6842105263157801"/>
    <n v="4"/>
    <n v="3.8470588235294101"/>
  </r>
  <r>
    <x v="7"/>
    <d v="2025-01-17T00:00:00"/>
    <s v="Friday"/>
    <d v="1899-12-30T09:30:00"/>
    <s v="S09"/>
    <n v="122.625"/>
    <n v="91"/>
    <n v="11.6"/>
    <n v="21"/>
    <s v="West"/>
    <n v="0"/>
    <s v="No Event"/>
    <n v="37"/>
    <n v="37"/>
    <n v="3.1"/>
    <n v="0"/>
    <n v="9"/>
    <n v="1"/>
    <n v="4"/>
    <n v="0"/>
    <s v="Morning Peak"/>
    <n v="0"/>
    <n v="1"/>
    <n v="0"/>
    <n v="5.83928571428571"/>
    <n v="10.5711206896551"/>
    <n v="31.625"/>
    <n v="2.80217391304347"/>
  </r>
  <r>
    <x v="3"/>
    <d v="2025-01-18T00:00:00"/>
    <s v="Saturday"/>
    <d v="1899-12-30T16:30:00"/>
    <s v="S16"/>
    <n v="34"/>
    <n v="31"/>
    <n v="8.1999999999999993"/>
    <n v="15"/>
    <s v="Central"/>
    <n v="0"/>
    <s v="Concert"/>
    <n v="26"/>
    <n v="26"/>
    <n v="8.3000000000000007"/>
    <n v="0"/>
    <n v="16"/>
    <n v="1"/>
    <n v="5"/>
    <n v="1"/>
    <s v="Off-Peak"/>
    <n v="1"/>
    <n v="1"/>
    <n v="1"/>
    <n v="2.2666666666666599"/>
    <n v="4.1463414634146298"/>
    <n v="3"/>
    <n v="3.6937500000000001"/>
  </r>
  <r>
    <x v="2"/>
    <d v="2025-01-15T00:00:00"/>
    <s v="Wednesday"/>
    <d v="1899-12-30T16:00:00"/>
    <s v="S23"/>
    <n v="57"/>
    <n v="57"/>
    <n v="18.399999999999999"/>
    <n v="32"/>
    <s v="East"/>
    <n v="0"/>
    <s v="No Event"/>
    <n v="30"/>
    <n v="26"/>
    <n v="5.7"/>
    <n v="0"/>
    <n v="16"/>
    <n v="1"/>
    <n v="2"/>
    <n v="0"/>
    <s v="Off-Peak"/>
    <n v="0"/>
    <n v="0.86666666666666603"/>
    <n v="1"/>
    <n v="1.78125"/>
    <n v="3.0978260869565202"/>
    <n v="0"/>
    <n v="8.6013888888888896"/>
  </r>
  <r>
    <x v="2"/>
    <d v="2025-02-06T00:00:00"/>
    <s v="Thursday"/>
    <d v="1899-12-30T15:00:00"/>
    <s v="S06"/>
    <n v="63"/>
    <n v="54"/>
    <n v="18.399999999999999"/>
    <n v="32"/>
    <s v="East"/>
    <n v="0"/>
    <s v="No Event"/>
    <n v="23"/>
    <n v="21"/>
    <n v="9.1999999999999993"/>
    <n v="0"/>
    <n v="15"/>
    <n v="2"/>
    <n v="3"/>
    <n v="0"/>
    <s v="Off-Peak"/>
    <n v="0"/>
    <n v="0.91304347826086896"/>
    <n v="1"/>
    <n v="1.96875"/>
    <n v="3.4239130434782599"/>
    <n v="9"/>
    <n v="8.6013888888888896"/>
  </r>
  <r>
    <x v="0"/>
    <d v="2025-02-20T00:00:00"/>
    <s v="Thursday"/>
    <d v="1899-12-30T13:15:00"/>
    <s v="S23"/>
    <n v="31"/>
    <n v="31"/>
    <n v="10.1"/>
    <n v="19"/>
    <s v="West"/>
    <n v="0"/>
    <s v="No Event"/>
    <n v="18"/>
    <n v="17"/>
    <n v="3.6"/>
    <n v="0"/>
    <n v="13"/>
    <n v="2"/>
    <n v="3"/>
    <n v="0"/>
    <s v="Off-Peak"/>
    <n v="0"/>
    <n v="0.94444444444444398"/>
    <n v="0"/>
    <n v="1.6315789473684199"/>
    <n v="3.06930693069306"/>
    <n v="0"/>
    <n v="3.6613636363636299"/>
  </r>
  <r>
    <x v="2"/>
    <d v="2025-01-26T00:00:00"/>
    <s v="Sunday"/>
    <d v="1899-12-30T14:30:00"/>
    <s v="S14"/>
    <n v="46"/>
    <n v="44"/>
    <n v="18.399999999999999"/>
    <n v="32"/>
    <s v="East"/>
    <n v="1"/>
    <s v="No Event"/>
    <n v="38"/>
    <n v="31"/>
    <n v="7.4"/>
    <n v="0"/>
    <n v="14"/>
    <n v="1"/>
    <n v="6"/>
    <n v="1"/>
    <s v="Off-Peak"/>
    <n v="0"/>
    <n v="0.81578947368420995"/>
    <n v="1"/>
    <n v="1.4375"/>
    <n v="2.5"/>
    <n v="2"/>
    <n v="8.6013888888888896"/>
  </r>
  <r>
    <x v="8"/>
    <d v="2025-01-01T00:00:00"/>
    <s v="Wednesday"/>
    <d v="1899-12-30T18:00:00"/>
    <s v="S16"/>
    <n v="73"/>
    <n v="68"/>
    <n v="7.3"/>
    <n v="13"/>
    <s v="South"/>
    <n v="1"/>
    <s v="No Event"/>
    <n v="30"/>
    <n v="29"/>
    <n v="2.2999999999999998"/>
    <n v="0"/>
    <n v="18"/>
    <n v="1"/>
    <n v="2"/>
    <n v="0"/>
    <s v="Evening Peak"/>
    <n v="0"/>
    <n v="0.96666666666666601"/>
    <n v="0"/>
    <n v="5.6153846153846096"/>
    <n v="10"/>
    <n v="5"/>
    <n v="4.0518518518518496"/>
  </r>
  <r>
    <x v="4"/>
    <d v="2025-02-04T00:00:00"/>
    <s v="Tuesday"/>
    <d v="1899-12-30T15:30:00"/>
    <s v="S14"/>
    <n v="40"/>
    <n v="36"/>
    <n v="14.2"/>
    <n v="25"/>
    <s v="East"/>
    <n v="0"/>
    <s v="No Event"/>
    <n v="19"/>
    <n v="16"/>
    <n v="2"/>
    <n v="0"/>
    <n v="15"/>
    <n v="2"/>
    <n v="1"/>
    <n v="0"/>
    <s v="Off-Peak"/>
    <n v="0"/>
    <n v="0.84210526315789402"/>
    <n v="0"/>
    <n v="1.6"/>
    <n v="2.8169014084507"/>
    <n v="4"/>
    <n v="8.3255319148936096"/>
  </r>
  <r>
    <x v="5"/>
    <d v="2025-02-13T00:00:00"/>
    <s v="Thursday"/>
    <d v="1899-12-30T13:15:00"/>
    <s v="S06"/>
    <n v="49"/>
    <n v="42"/>
    <n v="12.5"/>
    <n v="22"/>
    <s v="Central"/>
    <n v="0"/>
    <s v="No Event"/>
    <n v="32"/>
    <n v="32"/>
    <n v="9.5"/>
    <n v="0"/>
    <n v="13"/>
    <n v="2"/>
    <n v="3"/>
    <n v="0"/>
    <s v="Off-Peak"/>
    <n v="0"/>
    <n v="1"/>
    <n v="1"/>
    <n v="2.22727272727272"/>
    <n v="3.92"/>
    <n v="7"/>
    <n v="3.4760869565217298"/>
  </r>
  <r>
    <x v="2"/>
    <d v="2025-01-21T00:00:00"/>
    <s v="Tuesday"/>
    <d v="1899-12-30T16:30:00"/>
    <s v="S01"/>
    <n v="51"/>
    <n v="50"/>
    <n v="18.399999999999999"/>
    <n v="32"/>
    <s v="East"/>
    <n v="0"/>
    <s v="No Event"/>
    <n v="29"/>
    <n v="24"/>
    <n v="3.8"/>
    <n v="0"/>
    <n v="16"/>
    <n v="1"/>
    <n v="1"/>
    <n v="0"/>
    <s v="Off-Peak"/>
    <n v="0"/>
    <n v="0.82758620689655105"/>
    <n v="0"/>
    <n v="1.59375"/>
    <n v="2.77173913043478"/>
    <n v="1"/>
    <n v="8.6013888888888896"/>
  </r>
  <r>
    <x v="8"/>
    <d v="2025-01-20T00:00:00"/>
    <s v="Monday"/>
    <d v="1899-12-30T21:00:00"/>
    <s v="S16"/>
    <n v="31"/>
    <n v="27"/>
    <n v="7.3"/>
    <n v="13"/>
    <s v="South"/>
    <n v="0"/>
    <s v="No Event"/>
    <n v="39"/>
    <n v="39"/>
    <n v="7.9"/>
    <n v="0"/>
    <n v="21"/>
    <n v="1"/>
    <n v="0"/>
    <n v="0"/>
    <s v="Off-Peak"/>
    <n v="0"/>
    <n v="1"/>
    <n v="1"/>
    <n v="2.3846153846153801"/>
    <n v="4.24657534246575"/>
    <n v="4"/>
    <n v="4.0518518518518496"/>
  </r>
  <r>
    <x v="7"/>
    <d v="2025-02-11T00:00:00"/>
    <s v="Tuesday"/>
    <d v="1899-12-30T12:15:00"/>
    <s v="S07"/>
    <n v="47"/>
    <n v="43"/>
    <n v="11.6"/>
    <n v="21"/>
    <s v="West"/>
    <n v="0"/>
    <s v="No Event"/>
    <n v="18"/>
    <n v="17"/>
    <n v="2.9"/>
    <n v="0"/>
    <n v="12"/>
    <n v="2"/>
    <n v="1"/>
    <n v="0"/>
    <s v="Off-Peak"/>
    <n v="0"/>
    <n v="0.94444444444444398"/>
    <n v="0"/>
    <n v="2.2380952380952301"/>
    <n v="4.0517241379310303"/>
    <n v="4"/>
    <n v="2.80217391304347"/>
  </r>
  <r>
    <x v="5"/>
    <d v="2025-01-21T00:00:00"/>
    <s v="Tuesday"/>
    <d v="1899-12-30T07:00:00"/>
    <s v="S16"/>
    <n v="73"/>
    <n v="71"/>
    <n v="12.5"/>
    <n v="22"/>
    <s v="Central"/>
    <n v="0"/>
    <s v="No Event"/>
    <n v="30"/>
    <n v="28"/>
    <n v="1.8"/>
    <n v="0"/>
    <n v="7"/>
    <n v="1"/>
    <n v="1"/>
    <n v="0"/>
    <s v="Morning Peak"/>
    <n v="0"/>
    <n v="0.93333333333333302"/>
    <n v="0"/>
    <n v="3.3181818181818099"/>
    <n v="5.84"/>
    <n v="2"/>
    <n v="3.4760869565217298"/>
  </r>
  <r>
    <x v="2"/>
    <d v="2025-01-26T00:00:00"/>
    <s v="Sunday"/>
    <d v="1899-12-30T19:15:00"/>
    <s v="S07"/>
    <n v="64"/>
    <n v="55"/>
    <n v="18.399999999999999"/>
    <n v="32"/>
    <s v="East"/>
    <n v="1"/>
    <s v="No Event"/>
    <n v="38"/>
    <n v="31"/>
    <n v="7.4"/>
    <n v="0"/>
    <n v="19"/>
    <n v="1"/>
    <n v="6"/>
    <n v="1"/>
    <s v="Evening Peak"/>
    <n v="0"/>
    <n v="0.81578947368420995"/>
    <n v="1"/>
    <n v="2"/>
    <n v="3.4782608695652102"/>
    <n v="9"/>
    <n v="8.6013888888888896"/>
  </r>
  <r>
    <x v="1"/>
    <d v="2025-01-09T00:00:00"/>
    <s v="Thursday"/>
    <d v="1899-12-30T14:15:00"/>
    <s v="S20"/>
    <n v="34"/>
    <n v="33"/>
    <n v="9.5"/>
    <n v="17"/>
    <s v="North"/>
    <n v="0"/>
    <s v="No Event"/>
    <n v="39"/>
    <n v="39"/>
    <n v="9.1"/>
    <n v="0"/>
    <n v="14"/>
    <n v="1"/>
    <n v="3"/>
    <n v="0"/>
    <s v="Off-Peak"/>
    <n v="0"/>
    <n v="1"/>
    <n v="1"/>
    <n v="2"/>
    <n v="3.57894736842105"/>
    <n v="1"/>
    <n v="3.8470588235294101"/>
  </r>
  <r>
    <x v="4"/>
    <d v="2025-02-14T00:00:00"/>
    <s v="Friday"/>
    <d v="1899-12-30T07:15:00"/>
    <s v="S23"/>
    <n v="103"/>
    <n v="93"/>
    <n v="14.2"/>
    <n v="25"/>
    <s v="East"/>
    <n v="0"/>
    <s v="No Event"/>
    <n v="26"/>
    <n v="23"/>
    <n v="6.4"/>
    <n v="0"/>
    <n v="7"/>
    <n v="2"/>
    <n v="4"/>
    <n v="0"/>
    <s v="Morning Peak"/>
    <n v="0"/>
    <n v="0.88461538461538403"/>
    <n v="1"/>
    <n v="4.12"/>
    <n v="7.2535211267605604"/>
    <n v="10"/>
    <n v="8.3255319148936096"/>
  </r>
  <r>
    <x v="2"/>
    <d v="2025-02-22T00:00:00"/>
    <s v="Saturday"/>
    <d v="1899-12-30T16:15:00"/>
    <s v="S16"/>
    <n v="54"/>
    <n v="53"/>
    <n v="18.399999999999999"/>
    <n v="32"/>
    <s v="East"/>
    <n v="0"/>
    <s v="Festival"/>
    <n v="37"/>
    <n v="30"/>
    <n v="8.8000000000000007"/>
    <n v="1"/>
    <n v="16"/>
    <n v="2"/>
    <n v="5"/>
    <n v="1"/>
    <s v="Off-Peak"/>
    <n v="1"/>
    <n v="0.81081081081080997"/>
    <n v="1"/>
    <n v="1.6875"/>
    <n v="2.9347826086956501"/>
    <n v="1"/>
    <n v="8.6013888888888896"/>
  </r>
  <r>
    <x v="4"/>
    <d v="2025-02-07T00:00:00"/>
    <s v="Friday"/>
    <d v="1899-12-30T16:00:00"/>
    <s v="S16"/>
    <n v="43"/>
    <n v="39"/>
    <n v="14.2"/>
    <n v="25"/>
    <s v="East"/>
    <n v="0"/>
    <s v="No Event"/>
    <n v="24"/>
    <n v="19"/>
    <n v="21.4"/>
    <n v="0"/>
    <n v="16"/>
    <n v="2"/>
    <n v="4"/>
    <n v="0"/>
    <s v="Off-Peak"/>
    <n v="0"/>
    <n v="0.79166666666666596"/>
    <n v="1"/>
    <n v="1.72"/>
    <n v="3.0281690140844999"/>
    <n v="4"/>
    <n v="8.3255319148936096"/>
  </r>
  <r>
    <x v="2"/>
    <d v="2025-02-09T00:00:00"/>
    <s v="Sunday"/>
    <d v="1899-12-30T07:15:00"/>
    <s v="S06"/>
    <n v="96"/>
    <n v="87"/>
    <n v="18.399999999999999"/>
    <n v="32"/>
    <s v="East"/>
    <n v="0"/>
    <s v="No Event"/>
    <n v="18"/>
    <n v="16"/>
    <n v="7.5"/>
    <n v="0"/>
    <n v="7"/>
    <n v="2"/>
    <n v="6"/>
    <n v="1"/>
    <s v="Morning Peak"/>
    <n v="0"/>
    <n v="0.88888888888888795"/>
    <n v="1"/>
    <n v="3"/>
    <n v="5.2173913043478199"/>
    <n v="9"/>
    <n v="8.6013888888888896"/>
  </r>
  <r>
    <x v="4"/>
    <d v="2025-01-11T00:00:00"/>
    <s v="Saturday"/>
    <d v="1899-12-30T19:30:00"/>
    <s v="S18"/>
    <n v="90"/>
    <n v="79"/>
    <n v="14.2"/>
    <n v="25"/>
    <s v="East"/>
    <n v="0"/>
    <s v="Cricket Match"/>
    <n v="35"/>
    <n v="31"/>
    <n v="11.4"/>
    <n v="0"/>
    <n v="19"/>
    <n v="1"/>
    <n v="5"/>
    <n v="1"/>
    <s v="Evening Peak"/>
    <n v="1"/>
    <n v="0.88571428571428501"/>
    <n v="1"/>
    <n v="3.6"/>
    <n v="6.3380281690140796"/>
    <n v="11"/>
    <n v="8.3255319148936096"/>
  </r>
  <r>
    <x v="6"/>
    <d v="2025-02-02T00:00:00"/>
    <s v="Sunday"/>
    <d v="1899-12-30T16:30:00"/>
    <s v="S15"/>
    <n v="29"/>
    <n v="27"/>
    <n v="6.8"/>
    <n v="12"/>
    <s v="South"/>
    <n v="0"/>
    <s v="No Event"/>
    <n v="37"/>
    <n v="35"/>
    <n v="3"/>
    <n v="0"/>
    <n v="16"/>
    <n v="2"/>
    <n v="6"/>
    <n v="1"/>
    <s v="Off-Peak"/>
    <n v="0"/>
    <n v="0.94594594594594505"/>
    <n v="0"/>
    <n v="2.4166666666666599"/>
    <n v="4.2647058823529402"/>
    <n v="2"/>
    <n v="2.7611111111111102"/>
  </r>
  <r>
    <x v="0"/>
    <d v="2025-02-02T00:00:00"/>
    <s v="Sunday"/>
    <d v="1899-12-30T19:45:00"/>
    <s v="S25"/>
    <n v="57"/>
    <n v="52"/>
    <n v="10.1"/>
    <n v="19"/>
    <s v="West"/>
    <n v="0"/>
    <s v="No Event"/>
    <n v="23"/>
    <n v="22"/>
    <n v="2"/>
    <n v="0"/>
    <n v="19"/>
    <n v="2"/>
    <n v="6"/>
    <n v="1"/>
    <s v="Evening Peak"/>
    <n v="0"/>
    <n v="0.95652173913043403"/>
    <n v="0"/>
    <n v="3"/>
    <n v="5.6435643564356397"/>
    <n v="5"/>
    <n v="3.6613636363636299"/>
  </r>
  <r>
    <x v="3"/>
    <d v="2025-02-24T00:00:00"/>
    <s v="Monday"/>
    <d v="1899-12-30T09:00:00"/>
    <s v="S01"/>
    <n v="70"/>
    <n v="69"/>
    <n v="8.1999999999999993"/>
    <n v="15"/>
    <s v="Central"/>
    <n v="0"/>
    <s v="No Event"/>
    <n v="27"/>
    <n v="27"/>
    <n v="6.5"/>
    <n v="0"/>
    <n v="9"/>
    <n v="2"/>
    <n v="0"/>
    <n v="0"/>
    <s v="Morning Peak"/>
    <n v="0"/>
    <n v="1"/>
    <n v="1"/>
    <n v="4.6666666666666599"/>
    <n v="8.5365853658536501"/>
    <n v="1"/>
    <n v="3.6937500000000001"/>
  </r>
  <r>
    <x v="8"/>
    <d v="2025-02-16T00:00:00"/>
    <s v="Sunday"/>
    <d v="1899-12-30T17:00:00"/>
    <s v="S19"/>
    <n v="52"/>
    <n v="45"/>
    <n v="7.3"/>
    <n v="13"/>
    <s v="South"/>
    <n v="0"/>
    <s v="No Event"/>
    <n v="38"/>
    <n v="37"/>
    <n v="8.1"/>
    <n v="0"/>
    <n v="17"/>
    <n v="2"/>
    <n v="6"/>
    <n v="1"/>
    <s v="Evening Peak"/>
    <n v="0"/>
    <n v="0.97368421052631504"/>
    <n v="1"/>
    <n v="4"/>
    <n v="7.1232876712328697"/>
    <n v="7"/>
    <n v="4.0518518518518496"/>
  </r>
  <r>
    <x v="9"/>
    <d v="2025-02-12T00:00:00"/>
    <s v="Wednesday"/>
    <d v="1899-12-30T14:45:00"/>
    <s v="S18"/>
    <n v="64"/>
    <n v="63"/>
    <n v="15"/>
    <n v="28"/>
    <s v="North"/>
    <n v="0"/>
    <s v="No Event"/>
    <n v="21"/>
    <n v="18"/>
    <n v="8.5"/>
    <n v="0"/>
    <n v="14"/>
    <n v="2"/>
    <n v="2"/>
    <n v="0"/>
    <s v="Off-Peak"/>
    <n v="0"/>
    <n v="0.85714285714285698"/>
    <n v="1"/>
    <n v="2.2857142857142798"/>
    <n v="4.2666666666666604"/>
    <n v="1"/>
    <n v="9.4749999999999996"/>
  </r>
  <r>
    <x v="0"/>
    <d v="2025-01-26T00:00:00"/>
    <s v="Sunday"/>
    <d v="1899-12-30T15:15:00"/>
    <s v="S15"/>
    <n v="40"/>
    <n v="36"/>
    <n v="10.1"/>
    <n v="19"/>
    <s v="West"/>
    <n v="1"/>
    <s v="No Event"/>
    <n v="24"/>
    <n v="24"/>
    <n v="3.3"/>
    <n v="1"/>
    <n v="15"/>
    <n v="1"/>
    <n v="6"/>
    <n v="1"/>
    <s v="Off-Peak"/>
    <n v="0"/>
    <n v="1"/>
    <n v="0"/>
    <n v="2.1052631578947301"/>
    <n v="3.9603960396039599"/>
    <n v="4"/>
    <n v="3.6613636363636299"/>
  </r>
  <r>
    <x v="6"/>
    <d v="2025-02-06T00:00:00"/>
    <s v="Thursday"/>
    <d v="1899-12-30T07:30:00"/>
    <s v="S24"/>
    <n v="54"/>
    <n v="50"/>
    <n v="6.8"/>
    <n v="12"/>
    <s v="South"/>
    <n v="0"/>
    <s v="No Event"/>
    <n v="29"/>
    <n v="28"/>
    <n v="6.4"/>
    <n v="0"/>
    <n v="7"/>
    <n v="2"/>
    <n v="3"/>
    <n v="0"/>
    <s v="Morning Peak"/>
    <n v="0"/>
    <n v="0.96551724137931005"/>
    <n v="1"/>
    <n v="4.5"/>
    <n v="7.9411764705882302"/>
    <n v="4"/>
    <n v="2.7611111111111102"/>
  </r>
  <r>
    <x v="8"/>
    <d v="2025-01-06T00:00:00"/>
    <s v="Monday"/>
    <d v="1899-12-30T17:15:00"/>
    <s v="S16"/>
    <n v="50"/>
    <n v="47"/>
    <n v="7.3"/>
    <n v="13"/>
    <s v="South"/>
    <n v="0"/>
    <s v="No Event"/>
    <n v="23"/>
    <n v="22"/>
    <n v="2.9"/>
    <n v="0"/>
    <n v="17"/>
    <n v="1"/>
    <n v="0"/>
    <n v="0"/>
    <s v="Evening Peak"/>
    <n v="0"/>
    <n v="0.95652173913043403"/>
    <n v="0"/>
    <n v="3.84615384615384"/>
    <n v="6.8493150684931496"/>
    <n v="3"/>
    <n v="4.0518518518518496"/>
  </r>
  <r>
    <x v="3"/>
    <d v="2025-02-07T00:00:00"/>
    <s v="Friday"/>
    <d v="1899-12-30T15:45:00"/>
    <s v="S25"/>
    <n v="40"/>
    <n v="38"/>
    <n v="8.1999999999999993"/>
    <n v="15"/>
    <s v="Central"/>
    <n v="0"/>
    <s v="No Event"/>
    <n v="21"/>
    <n v="21"/>
    <n v="1.7"/>
    <n v="0"/>
    <n v="15"/>
    <n v="2"/>
    <n v="4"/>
    <n v="0"/>
    <s v="Off-Peak"/>
    <n v="0"/>
    <n v="1"/>
    <n v="0"/>
    <n v="2.6666666666666599"/>
    <n v="4.8780487804878003"/>
    <n v="2"/>
    <n v="3.6937500000000001"/>
  </r>
  <r>
    <x v="9"/>
    <d v="2025-02-07T00:00:00"/>
    <s v="Friday"/>
    <d v="1899-12-30T15:45:00"/>
    <s v="S12"/>
    <n v="54"/>
    <n v="52"/>
    <n v="15"/>
    <n v="28"/>
    <s v="North"/>
    <n v="0"/>
    <s v="No Event"/>
    <n v="23"/>
    <n v="19"/>
    <n v="6.8"/>
    <n v="0"/>
    <n v="15"/>
    <n v="2"/>
    <n v="4"/>
    <n v="0"/>
    <s v="Off-Peak"/>
    <n v="0"/>
    <n v="0.82608695652173902"/>
    <n v="1"/>
    <n v="1.9285714285714199"/>
    <n v="3.6"/>
    <n v="2"/>
    <n v="9.4749999999999996"/>
  </r>
  <r>
    <x v="5"/>
    <d v="2025-02-16T00:00:00"/>
    <s v="Sunday"/>
    <d v="1899-12-30T16:15:00"/>
    <s v="S06"/>
    <n v="34"/>
    <n v="33"/>
    <n v="12.5"/>
    <n v="22"/>
    <s v="Central"/>
    <n v="0"/>
    <s v="No Event"/>
    <n v="25"/>
    <n v="24"/>
    <n v="1.5"/>
    <n v="0"/>
    <n v="16"/>
    <n v="2"/>
    <n v="6"/>
    <n v="1"/>
    <s v="Off-Peak"/>
    <n v="0"/>
    <n v="0.96"/>
    <n v="0"/>
    <n v="1.5454545454545401"/>
    <n v="2.72"/>
    <n v="1"/>
    <n v="3.4760869565217298"/>
  </r>
  <r>
    <x v="0"/>
    <d v="2025-01-11T00:00:00"/>
    <s v="Saturday"/>
    <d v="1899-12-30T11:45:00"/>
    <s v="S25"/>
    <n v="59"/>
    <n v="53"/>
    <n v="10.1"/>
    <n v="19"/>
    <s v="West"/>
    <n v="0"/>
    <s v="Cricket Match"/>
    <n v="27"/>
    <n v="26"/>
    <n v="3.4"/>
    <n v="0"/>
    <n v="11"/>
    <n v="1"/>
    <n v="5"/>
    <n v="1"/>
    <s v="Off-Peak"/>
    <n v="1"/>
    <n v="0.96296296296296202"/>
    <n v="0"/>
    <n v="3.1052631578947301"/>
    <n v="5.8415841584158397"/>
    <n v="6"/>
    <n v="3.6613636363636299"/>
  </r>
  <r>
    <x v="4"/>
    <d v="2025-01-04T00:00:00"/>
    <s v="Saturday"/>
    <d v="1899-12-30T14:00:00"/>
    <s v="S12"/>
    <n v="42"/>
    <n v="36"/>
    <n v="14.2"/>
    <n v="25"/>
    <s v="East"/>
    <n v="0"/>
    <s v="No Event"/>
    <n v="21"/>
    <n v="19"/>
    <n v="6.2"/>
    <n v="0"/>
    <n v="14"/>
    <n v="1"/>
    <n v="5"/>
    <n v="1"/>
    <s v="Off-Peak"/>
    <n v="0"/>
    <n v="0.90476190476190399"/>
    <n v="1"/>
    <n v="1.68"/>
    <n v="2.9577464788732302"/>
    <n v="6"/>
    <n v="8.3255319148936096"/>
  </r>
  <r>
    <x v="5"/>
    <d v="2025-01-14T00:00:00"/>
    <s v="Tuesday"/>
    <d v="1899-12-30T07:45:00"/>
    <s v="S20"/>
    <n v="75"/>
    <n v="72"/>
    <n v="12.5"/>
    <n v="22"/>
    <s v="Central"/>
    <n v="1"/>
    <s v="No Event"/>
    <n v="20"/>
    <n v="19"/>
    <n v="2"/>
    <n v="0"/>
    <n v="7"/>
    <n v="1"/>
    <n v="1"/>
    <n v="0"/>
    <s v="Morning Peak"/>
    <n v="0"/>
    <n v="0.95"/>
    <n v="0"/>
    <n v="3.4090909090908998"/>
    <n v="6"/>
    <n v="3"/>
    <n v="3.4760869565217298"/>
  </r>
  <r>
    <x v="5"/>
    <d v="2025-02-10T00:00:00"/>
    <s v="Monday"/>
    <d v="1899-12-30T11:00:00"/>
    <s v="S09"/>
    <n v="41"/>
    <n v="40"/>
    <n v="12.5"/>
    <n v="22"/>
    <s v="Central"/>
    <n v="0"/>
    <s v="No Event"/>
    <n v="38"/>
    <n v="37"/>
    <n v="1.2"/>
    <n v="0"/>
    <n v="11"/>
    <n v="2"/>
    <n v="0"/>
    <n v="0"/>
    <s v="Off-Peak"/>
    <n v="0"/>
    <n v="0.97368421052631504"/>
    <n v="0"/>
    <n v="1.86363636363636"/>
    <n v="3.28"/>
    <n v="1"/>
    <n v="3.4760869565217298"/>
  </r>
  <r>
    <x v="6"/>
    <d v="2025-02-02T00:00:00"/>
    <s v="Sunday"/>
    <d v="1899-12-30T18:30:00"/>
    <s v="S07"/>
    <n v="47"/>
    <n v="44"/>
    <n v="6.8"/>
    <n v="12"/>
    <s v="South"/>
    <n v="0"/>
    <s v="No Event"/>
    <n v="37"/>
    <n v="35"/>
    <n v="3"/>
    <n v="0"/>
    <n v="18"/>
    <n v="2"/>
    <n v="6"/>
    <n v="1"/>
    <s v="Evening Peak"/>
    <n v="0"/>
    <n v="0.94594594594594505"/>
    <n v="0"/>
    <n v="3.9166666666666599"/>
    <n v="6.9117647058823497"/>
    <n v="3"/>
    <n v="2.7611111111111102"/>
  </r>
  <r>
    <x v="4"/>
    <d v="2025-01-28T00:00:00"/>
    <s v="Tuesday"/>
    <d v="1899-12-30T14:00:00"/>
    <s v="S01"/>
    <n v="54"/>
    <n v="53"/>
    <n v="14.2"/>
    <n v="25"/>
    <s v="East"/>
    <n v="0"/>
    <s v="No Event"/>
    <n v="36"/>
    <n v="33"/>
    <n v="14.7"/>
    <n v="0"/>
    <n v="14"/>
    <n v="1"/>
    <n v="1"/>
    <n v="0"/>
    <s v="Off-Peak"/>
    <n v="0"/>
    <n v="0.91666666666666596"/>
    <n v="1"/>
    <n v="2.16"/>
    <n v="3.8028169014084501"/>
    <n v="1"/>
    <n v="8.3255319148936096"/>
  </r>
  <r>
    <x v="4"/>
    <d v="2025-02-17T00:00:00"/>
    <s v="Monday"/>
    <d v="1899-12-30T15:15:00"/>
    <s v="S04"/>
    <n v="54"/>
    <n v="51"/>
    <n v="14.2"/>
    <n v="25"/>
    <s v="East"/>
    <n v="0"/>
    <s v="No Event"/>
    <n v="38"/>
    <n v="34"/>
    <n v="6.6"/>
    <n v="0"/>
    <n v="15"/>
    <n v="2"/>
    <n v="0"/>
    <n v="0"/>
    <s v="Off-Peak"/>
    <n v="0"/>
    <n v="0.89473684210526305"/>
    <n v="1"/>
    <n v="2.16"/>
    <n v="3.8028169014084501"/>
    <n v="3"/>
    <n v="8.3255319148936096"/>
  </r>
  <r>
    <x v="9"/>
    <d v="2025-01-24T00:00:00"/>
    <s v="Friday"/>
    <d v="1899-12-30T20:30:00"/>
    <s v="S16"/>
    <n v="52"/>
    <n v="47"/>
    <n v="15"/>
    <n v="28"/>
    <s v="North"/>
    <n v="0"/>
    <s v="No Event"/>
    <n v="37"/>
    <n v="33"/>
    <n v="5.0999999999999996"/>
    <n v="0"/>
    <n v="20"/>
    <n v="1"/>
    <n v="4"/>
    <n v="0"/>
    <s v="Off-Peak"/>
    <n v="0"/>
    <n v="0.891891891891891"/>
    <n v="1"/>
    <n v="1.8571428571428501"/>
    <n v="3.4666666666666601"/>
    <n v="5"/>
    <n v="9.4749999999999996"/>
  </r>
  <r>
    <x v="3"/>
    <d v="2025-02-07T00:00:00"/>
    <s v="Friday"/>
    <d v="1899-12-30T15:45:00"/>
    <s v="S20"/>
    <n v="42"/>
    <n v="41"/>
    <n v="8.1999999999999993"/>
    <n v="15"/>
    <s v="Central"/>
    <n v="0"/>
    <s v="No Event"/>
    <n v="21"/>
    <n v="21"/>
    <n v="1.7"/>
    <n v="0"/>
    <n v="15"/>
    <n v="2"/>
    <n v="4"/>
    <n v="0"/>
    <s v="Off-Peak"/>
    <n v="0"/>
    <n v="1"/>
    <n v="0"/>
    <n v="2.8"/>
    <n v="5.1219512195121899"/>
    <n v="1"/>
    <n v="3.6937500000000001"/>
  </r>
  <r>
    <x v="2"/>
    <d v="2025-02-16T00:00:00"/>
    <s v="Sunday"/>
    <d v="1899-12-30T10:15:00"/>
    <s v="S25"/>
    <n v="44"/>
    <n v="40"/>
    <n v="18.399999999999999"/>
    <n v="32"/>
    <s v="East"/>
    <n v="0"/>
    <s v="No Event"/>
    <n v="25"/>
    <n v="23"/>
    <n v="9.4"/>
    <n v="0"/>
    <n v="10"/>
    <n v="2"/>
    <n v="6"/>
    <n v="1"/>
    <s v="Off-Peak"/>
    <n v="0"/>
    <n v="0.92"/>
    <n v="1"/>
    <n v="1.375"/>
    <n v="2.3913043478260798"/>
    <n v="4"/>
    <n v="8.6013888888888896"/>
  </r>
  <r>
    <x v="1"/>
    <d v="2025-01-14T00:00:00"/>
    <s v="Tuesday"/>
    <d v="1899-12-30T16:30:00"/>
    <s v="S19"/>
    <n v="47"/>
    <n v="44"/>
    <n v="9.5"/>
    <n v="17"/>
    <s v="North"/>
    <n v="1"/>
    <s v="No Event"/>
    <n v="24"/>
    <n v="23"/>
    <n v="4.0999999999999996"/>
    <n v="1"/>
    <n v="16"/>
    <n v="1"/>
    <n v="1"/>
    <n v="0"/>
    <s v="Off-Peak"/>
    <n v="0"/>
    <n v="0.95833333333333304"/>
    <n v="0"/>
    <n v="2.7647058823529398"/>
    <n v="4.9473684210526301"/>
    <n v="3"/>
    <n v="3.8470588235294101"/>
  </r>
  <r>
    <x v="0"/>
    <d v="2025-01-11T00:00:00"/>
    <s v="Saturday"/>
    <d v="1899-12-30T14:15:00"/>
    <s v="S04"/>
    <n v="59"/>
    <n v="50"/>
    <n v="10.1"/>
    <n v="19"/>
    <s v="West"/>
    <n v="0"/>
    <s v="Cricket Match"/>
    <n v="27"/>
    <n v="26"/>
    <n v="3.4"/>
    <n v="0"/>
    <n v="14"/>
    <n v="1"/>
    <n v="5"/>
    <n v="1"/>
    <s v="Off-Peak"/>
    <n v="1"/>
    <n v="0.96296296296296202"/>
    <n v="0"/>
    <n v="3.1052631578947301"/>
    <n v="5.8415841584158397"/>
    <n v="9"/>
    <n v="3.6613636363636299"/>
  </r>
  <r>
    <x v="9"/>
    <d v="2025-01-25T00:00:00"/>
    <s v="Saturday"/>
    <d v="1899-12-30T20:00:00"/>
    <s v="S23"/>
    <n v="60"/>
    <n v="56"/>
    <n v="15"/>
    <n v="28"/>
    <s v="North"/>
    <n v="0"/>
    <s v="Festival"/>
    <n v="22"/>
    <n v="20"/>
    <n v="12.1"/>
    <n v="0"/>
    <n v="20"/>
    <n v="1"/>
    <n v="5"/>
    <n v="1"/>
    <s v="Off-Peak"/>
    <n v="1"/>
    <n v="0.90909090909090895"/>
    <n v="1"/>
    <n v="2.1428571428571401"/>
    <n v="4"/>
    <n v="4"/>
    <n v="9.4749999999999996"/>
  </r>
  <r>
    <x v="5"/>
    <d v="2025-01-19T00:00:00"/>
    <s v="Sunday"/>
    <d v="1899-12-30T06:00:00"/>
    <s v="S01"/>
    <n v="19"/>
    <n v="18"/>
    <n v="12.5"/>
    <n v="22"/>
    <s v="Central"/>
    <n v="0"/>
    <s v="No Event"/>
    <n v="29"/>
    <n v="27"/>
    <n v="2.7"/>
    <n v="1"/>
    <n v="6"/>
    <n v="1"/>
    <n v="6"/>
    <n v="1"/>
    <s v="Off-Peak"/>
    <n v="0"/>
    <n v="0.93103448275862"/>
    <n v="0"/>
    <n v="0.86363636363636298"/>
    <n v="1.52"/>
    <n v="1"/>
    <n v="3.4760869565217298"/>
  </r>
  <r>
    <x v="7"/>
    <d v="2025-02-06T00:00:00"/>
    <s v="Thursday"/>
    <d v="1899-12-30T08:00:00"/>
    <s v="S23"/>
    <n v="83"/>
    <n v="77"/>
    <n v="11.6"/>
    <n v="21"/>
    <s v="West"/>
    <n v="0"/>
    <s v="No Event"/>
    <n v="32"/>
    <n v="31"/>
    <n v="1.7"/>
    <n v="0"/>
    <n v="8"/>
    <n v="2"/>
    <n v="3"/>
    <n v="0"/>
    <s v="Morning Peak"/>
    <n v="0"/>
    <n v="0.96875"/>
    <n v="0"/>
    <n v="3.9523809523809499"/>
    <n v="7.1551724137930997"/>
    <n v="6"/>
    <n v="2.80217391304347"/>
  </r>
  <r>
    <x v="0"/>
    <d v="2025-01-10T00:00:00"/>
    <s v="Friday"/>
    <d v="1899-12-30T07:30:00"/>
    <s v="S16"/>
    <n v="73"/>
    <n v="68"/>
    <n v="10.1"/>
    <n v="19"/>
    <s v="West"/>
    <n v="0"/>
    <s v="No Event"/>
    <n v="39"/>
    <n v="37"/>
    <n v="5.2"/>
    <n v="0"/>
    <n v="7"/>
    <n v="1"/>
    <n v="4"/>
    <n v="0"/>
    <s v="Morning Peak"/>
    <n v="0"/>
    <n v="0.94871794871794801"/>
    <n v="1"/>
    <n v="3.8421052631578898"/>
    <n v="7.2277227722772199"/>
    <n v="5"/>
    <n v="3.6613636363636299"/>
  </r>
  <r>
    <x v="0"/>
    <d v="2025-02-26T00:00:00"/>
    <s v="Wednesday"/>
    <d v="1899-12-30T06:00:00"/>
    <s v="S24"/>
    <n v="44"/>
    <n v="38"/>
    <n v="10.1"/>
    <n v="19"/>
    <s v="West"/>
    <n v="0"/>
    <s v="No Event"/>
    <n v="36"/>
    <n v="35"/>
    <n v="2.2999999999999998"/>
    <n v="0"/>
    <n v="6"/>
    <n v="2"/>
    <n v="2"/>
    <n v="0"/>
    <s v="Off-Peak"/>
    <n v="0"/>
    <n v="0.97222222222222199"/>
    <n v="0"/>
    <n v="2.3157894736842102"/>
    <n v="4.3564356435643496"/>
    <n v="6"/>
    <n v="3.6613636363636299"/>
  </r>
  <r>
    <x v="9"/>
    <d v="2025-02-06T00:00:00"/>
    <s v="Thursday"/>
    <d v="1899-12-30T10:30:00"/>
    <s v="S01"/>
    <n v="45"/>
    <n v="41"/>
    <n v="15"/>
    <n v="28"/>
    <s v="North"/>
    <n v="0"/>
    <s v="No Event"/>
    <n v="34"/>
    <n v="32"/>
    <n v="10.3"/>
    <n v="0"/>
    <n v="10"/>
    <n v="2"/>
    <n v="3"/>
    <n v="0"/>
    <s v="Off-Peak"/>
    <n v="0"/>
    <n v="0.94117647058823495"/>
    <n v="1"/>
    <n v="1.6071428571428501"/>
    <n v="3"/>
    <n v="4"/>
    <n v="9.4749999999999996"/>
  </r>
  <r>
    <x v="7"/>
    <d v="2025-01-03T00:00:00"/>
    <s v="Friday"/>
    <d v="1899-12-30T07:45:00"/>
    <s v="S25"/>
    <n v="68"/>
    <n v="60"/>
    <n v="11.6"/>
    <n v="21"/>
    <s v="West"/>
    <n v="0"/>
    <s v="No Event"/>
    <n v="35"/>
    <n v="34"/>
    <n v="4.5999999999999996"/>
    <n v="0"/>
    <n v="7"/>
    <n v="1"/>
    <n v="4"/>
    <n v="0"/>
    <s v="Morning Peak"/>
    <n v="0"/>
    <n v="0.97142857142857097"/>
    <n v="0"/>
    <n v="3.2380952380952301"/>
    <n v="5.8620689655172402"/>
    <n v="8"/>
    <n v="2.80217391304347"/>
  </r>
  <r>
    <x v="1"/>
    <d v="2025-02-09T00:00:00"/>
    <s v="Sunday"/>
    <d v="1899-12-30T09:00:00"/>
    <s v="S20"/>
    <n v="52"/>
    <n v="47"/>
    <n v="9.5"/>
    <n v="17"/>
    <s v="North"/>
    <n v="0"/>
    <s v="No Event"/>
    <n v="31"/>
    <n v="30"/>
    <n v="4.5999999999999996"/>
    <n v="0"/>
    <n v="9"/>
    <n v="2"/>
    <n v="6"/>
    <n v="1"/>
    <s v="Morning Peak"/>
    <n v="0"/>
    <n v="0.967741935483871"/>
    <n v="0"/>
    <n v="3.0588235294117601"/>
    <n v="5.4736842105263097"/>
    <n v="5"/>
    <n v="3.8470588235294101"/>
  </r>
  <r>
    <x v="9"/>
    <d v="2025-02-16T00:00:00"/>
    <s v="Sunday"/>
    <d v="1899-12-30T05:30:00"/>
    <s v="S13"/>
    <n v="24"/>
    <n v="23"/>
    <n v="15"/>
    <n v="28"/>
    <s v="North"/>
    <n v="0"/>
    <s v="No Event"/>
    <n v="25"/>
    <n v="21"/>
    <n v="7.7"/>
    <n v="0"/>
    <n v="5"/>
    <n v="2"/>
    <n v="6"/>
    <n v="1"/>
    <s v="Off-Peak"/>
    <n v="0"/>
    <n v="0.84"/>
    <n v="1"/>
    <n v="0.85714285714285698"/>
    <n v="1.6"/>
    <n v="1"/>
    <n v="9.4749999999999996"/>
  </r>
  <r>
    <x v="4"/>
    <d v="2025-01-21T00:00:00"/>
    <s v="Tuesday"/>
    <d v="1899-12-30T17:30:00"/>
    <s v="S25"/>
    <n v="73"/>
    <n v="72"/>
    <n v="14.2"/>
    <n v="25"/>
    <s v="East"/>
    <n v="0"/>
    <s v="No Event"/>
    <n v="22"/>
    <n v="18"/>
    <n v="5.3"/>
    <n v="0"/>
    <n v="17"/>
    <n v="1"/>
    <n v="1"/>
    <n v="0"/>
    <s v="Evening Peak"/>
    <n v="0"/>
    <n v="0.81818181818181801"/>
    <n v="1"/>
    <n v="2.92"/>
    <n v="5.1408450704225297"/>
    <n v="1"/>
    <n v="8.3255319148936096"/>
  </r>
  <r>
    <x v="9"/>
    <d v="2025-02-04T00:00:00"/>
    <s v="Tuesday"/>
    <d v="1899-12-30T17:15:00"/>
    <s v="S15"/>
    <n v="105"/>
    <n v="103"/>
    <n v="15"/>
    <n v="28"/>
    <s v="North"/>
    <n v="0"/>
    <s v="No Event"/>
    <n v="39"/>
    <n v="37"/>
    <n v="3.4"/>
    <n v="0"/>
    <n v="17"/>
    <n v="2"/>
    <n v="1"/>
    <n v="0"/>
    <s v="Evening Peak"/>
    <n v="0"/>
    <n v="0.94871794871794801"/>
    <n v="0"/>
    <n v="3.75"/>
    <n v="7"/>
    <n v="2"/>
    <n v="9.4749999999999996"/>
  </r>
  <r>
    <x v="7"/>
    <d v="2025-02-09T00:00:00"/>
    <s v="Sunday"/>
    <d v="1899-12-30T16:45:00"/>
    <s v="S09"/>
    <n v="33"/>
    <n v="28"/>
    <n v="11.6"/>
    <n v="21"/>
    <s v="West"/>
    <n v="0"/>
    <s v="No Event"/>
    <n v="29"/>
    <n v="29"/>
    <n v="1.1000000000000001"/>
    <n v="0"/>
    <n v="16"/>
    <n v="2"/>
    <n v="6"/>
    <n v="1"/>
    <s v="Off-Peak"/>
    <n v="0"/>
    <n v="1"/>
    <n v="0"/>
    <n v="1.5714285714285701"/>
    <n v="2.8448275862068901"/>
    <n v="5"/>
    <n v="2.80217391304347"/>
  </r>
  <r>
    <x v="3"/>
    <d v="2025-02-22T00:00:00"/>
    <s v="Saturday"/>
    <d v="1899-12-30T13:45:00"/>
    <s v="S20"/>
    <n v="39"/>
    <n v="36"/>
    <n v="8.1999999999999993"/>
    <n v="15"/>
    <s v="Central"/>
    <n v="0"/>
    <s v="Festival"/>
    <n v="39"/>
    <n v="37"/>
    <n v="5.7"/>
    <n v="0"/>
    <n v="13"/>
    <n v="2"/>
    <n v="5"/>
    <n v="1"/>
    <s v="Off-Peak"/>
    <n v="1"/>
    <n v="0.94871794871794801"/>
    <n v="1"/>
    <n v="2.6"/>
    <n v="4.7560975609756104"/>
    <n v="3"/>
    <n v="3.6937500000000001"/>
  </r>
  <r>
    <x v="7"/>
    <d v="2025-01-15T00:00:00"/>
    <s v="Wednesday"/>
    <d v="1899-12-30T07:30:00"/>
    <s v="S25"/>
    <n v="65"/>
    <n v="63"/>
    <n v="11.6"/>
    <n v="21"/>
    <s v="West"/>
    <n v="0"/>
    <s v="No Event"/>
    <n v="19"/>
    <n v="18"/>
    <n v="2"/>
    <n v="0"/>
    <n v="7"/>
    <n v="1"/>
    <n v="2"/>
    <n v="0"/>
    <s v="Morning Peak"/>
    <n v="0"/>
    <n v="0.94736842105263097"/>
    <n v="0"/>
    <n v="3.09523809523809"/>
    <n v="5.6034482758620596"/>
    <n v="2"/>
    <n v="2.80217391304347"/>
  </r>
  <r>
    <x v="2"/>
    <d v="2025-02-23T00:00:00"/>
    <s v="Sunday"/>
    <d v="1899-12-30T19:45:00"/>
    <s v="S20"/>
    <n v="61"/>
    <n v="57"/>
    <n v="18.399999999999999"/>
    <n v="32"/>
    <s v="East"/>
    <n v="0"/>
    <s v="No Event"/>
    <n v="29"/>
    <n v="23"/>
    <n v="3.4"/>
    <n v="0"/>
    <n v="19"/>
    <n v="2"/>
    <n v="6"/>
    <n v="1"/>
    <s v="Evening Peak"/>
    <n v="0"/>
    <n v="0.79310344827586199"/>
    <n v="0"/>
    <n v="1.90625"/>
    <n v="3.3152173913043401"/>
    <n v="4"/>
    <n v="8.6013888888888896"/>
  </r>
  <r>
    <x v="8"/>
    <d v="2025-02-11T00:00:00"/>
    <s v="Tuesday"/>
    <d v="1899-12-30T08:00:00"/>
    <s v="S04"/>
    <n v="58"/>
    <n v="57"/>
    <n v="7.3"/>
    <n v="13"/>
    <s v="South"/>
    <n v="0"/>
    <s v="No Event"/>
    <n v="20"/>
    <n v="20"/>
    <n v="3.7"/>
    <n v="0"/>
    <n v="8"/>
    <n v="2"/>
    <n v="1"/>
    <n v="0"/>
    <s v="Morning Peak"/>
    <n v="0"/>
    <n v="1"/>
    <n v="0"/>
    <n v="4.4615384615384599"/>
    <n v="7.9452054794520501"/>
    <n v="1"/>
    <n v="4.0518518518518496"/>
  </r>
  <r>
    <x v="5"/>
    <d v="2025-01-13T00:00:00"/>
    <s v="Monday"/>
    <d v="1899-12-30T16:00:00"/>
    <s v="S15"/>
    <n v="41"/>
    <n v="40"/>
    <n v="12.5"/>
    <n v="22"/>
    <s v="Central"/>
    <n v="0"/>
    <s v="No Event"/>
    <n v="36"/>
    <n v="34"/>
    <n v="1.2"/>
    <n v="0"/>
    <n v="16"/>
    <n v="1"/>
    <n v="0"/>
    <n v="0"/>
    <s v="Off-Peak"/>
    <n v="0"/>
    <n v="0.94444444444444398"/>
    <n v="0"/>
    <n v="1.86363636363636"/>
    <n v="3.28"/>
    <n v="1"/>
    <n v="3.4760869565217298"/>
  </r>
  <r>
    <x v="5"/>
    <d v="2025-01-22T00:00:00"/>
    <s v="Wednesday"/>
    <d v="1899-12-30T19:45:00"/>
    <s v="S04"/>
    <n v="100"/>
    <n v="93"/>
    <n v="12.5"/>
    <n v="22"/>
    <s v="Central"/>
    <n v="0"/>
    <s v="No Event"/>
    <n v="22"/>
    <n v="21"/>
    <n v="5.6"/>
    <n v="0"/>
    <n v="19"/>
    <n v="1"/>
    <n v="2"/>
    <n v="0"/>
    <s v="Evening Peak"/>
    <n v="0"/>
    <n v="0.95454545454545403"/>
    <n v="1"/>
    <n v="4.5454545454545396"/>
    <n v="8"/>
    <n v="7"/>
    <n v="3.4760869565217298"/>
  </r>
  <r>
    <x v="2"/>
    <d v="2025-02-16T00:00:00"/>
    <s v="Sunday"/>
    <d v="1899-12-30T20:00:00"/>
    <s v="S19"/>
    <n v="37"/>
    <n v="32"/>
    <n v="18.399999999999999"/>
    <n v="32"/>
    <s v="East"/>
    <n v="0"/>
    <s v="No Event"/>
    <n v="25"/>
    <n v="23"/>
    <n v="9.4"/>
    <n v="0"/>
    <n v="20"/>
    <n v="2"/>
    <n v="6"/>
    <n v="1"/>
    <s v="Off-Peak"/>
    <n v="0"/>
    <n v="0.92"/>
    <n v="1"/>
    <n v="1.15625"/>
    <n v="2.0108695652173898"/>
    <n v="5"/>
    <n v="8.6013888888888896"/>
  </r>
  <r>
    <x v="0"/>
    <d v="2025-01-27T00:00:00"/>
    <s v="Monday"/>
    <d v="1899-12-30T15:00:00"/>
    <s v="S06"/>
    <n v="44"/>
    <n v="43"/>
    <n v="10.1"/>
    <n v="19"/>
    <s v="West"/>
    <n v="0"/>
    <s v="No Event"/>
    <n v="34"/>
    <n v="33"/>
    <n v="0.7"/>
    <n v="0"/>
    <n v="15"/>
    <n v="1"/>
    <n v="0"/>
    <n v="0"/>
    <s v="Off-Peak"/>
    <n v="0"/>
    <n v="0.97058823529411697"/>
    <n v="0"/>
    <n v="2.3157894736842102"/>
    <n v="4.3564356435643496"/>
    <n v="1"/>
    <n v="3.6613636363636299"/>
  </r>
  <r>
    <x v="1"/>
    <d v="2025-02-26T00:00:00"/>
    <s v="Wednesday"/>
    <d v="1899-12-30T15:45:00"/>
    <s v="S25"/>
    <n v="39"/>
    <n v="39"/>
    <n v="9.5"/>
    <n v="17"/>
    <s v="North"/>
    <n v="0"/>
    <s v="No Event"/>
    <n v="24"/>
    <n v="23"/>
    <n v="6.6"/>
    <n v="0"/>
    <n v="15"/>
    <n v="2"/>
    <n v="2"/>
    <n v="0"/>
    <s v="Off-Peak"/>
    <n v="0"/>
    <n v="0.95833333333333304"/>
    <n v="1"/>
    <n v="2.2941176470588198"/>
    <n v="4.1052631578947301"/>
    <n v="0"/>
    <n v="3.8470588235294101"/>
  </r>
  <r>
    <x v="8"/>
    <d v="2025-02-08T00:00:00"/>
    <s v="Saturday"/>
    <d v="1899-12-30T10:00:00"/>
    <s v="S18"/>
    <n v="35"/>
    <n v="31"/>
    <n v="7.3"/>
    <n v="13"/>
    <s v="South"/>
    <n v="0"/>
    <s v="Cricket Match"/>
    <n v="39"/>
    <n v="37"/>
    <n v="1.3"/>
    <n v="0"/>
    <n v="10"/>
    <n v="2"/>
    <n v="5"/>
    <n v="1"/>
    <s v="Off-Peak"/>
    <n v="1"/>
    <n v="0.94871794871794801"/>
    <n v="0"/>
    <n v="2.6923076923076898"/>
    <n v="4.7945205479451998"/>
    <n v="4"/>
    <n v="4.0518518518518496"/>
  </r>
  <r>
    <x v="5"/>
    <d v="2025-02-13T00:00:00"/>
    <s v="Thursday"/>
    <d v="1899-12-30T17:30:00"/>
    <s v="S25"/>
    <n v="93"/>
    <n v="79"/>
    <n v="12.5"/>
    <n v="22"/>
    <s v="Central"/>
    <n v="0"/>
    <s v="No Event"/>
    <n v="32"/>
    <n v="32"/>
    <n v="9.5"/>
    <n v="0"/>
    <n v="17"/>
    <n v="2"/>
    <n v="3"/>
    <n v="0"/>
    <s v="Evening Peak"/>
    <n v="0"/>
    <n v="1"/>
    <n v="1"/>
    <n v="4.2272727272727204"/>
    <n v="7.44"/>
    <n v="14"/>
    <n v="3.4760869565217298"/>
  </r>
  <r>
    <x v="2"/>
    <d v="2025-02-03T00:00:00"/>
    <s v="Monday"/>
    <d v="1899-12-30T14:30:00"/>
    <s v="S16"/>
    <n v="61"/>
    <n v="58"/>
    <n v="18.399999999999999"/>
    <n v="32"/>
    <s v="East"/>
    <n v="0"/>
    <s v="No Event"/>
    <n v="38"/>
    <n v="35"/>
    <n v="3.8"/>
    <n v="0"/>
    <n v="14"/>
    <n v="2"/>
    <n v="0"/>
    <n v="0"/>
    <s v="Off-Peak"/>
    <n v="0"/>
    <n v="0.92105263157894701"/>
    <n v="0"/>
    <n v="1.90625"/>
    <n v="3.3152173913043401"/>
    <n v="3"/>
    <n v="8.6013888888888896"/>
  </r>
  <r>
    <x v="7"/>
    <d v="2025-02-25T00:00:00"/>
    <s v="Tuesday"/>
    <d v="1899-12-30T06:00:00"/>
    <s v="S19"/>
    <n v="43"/>
    <n v="41"/>
    <n v="11.6"/>
    <n v="21"/>
    <s v="West"/>
    <n v="0"/>
    <s v="No Event"/>
    <n v="37"/>
    <n v="37"/>
    <n v="2.8"/>
    <n v="0"/>
    <n v="6"/>
    <n v="2"/>
    <n v="1"/>
    <n v="0"/>
    <s v="Off-Peak"/>
    <n v="0"/>
    <n v="1"/>
    <n v="0"/>
    <n v="2.0476190476190399"/>
    <n v="3.7068965517241299"/>
    <n v="2"/>
    <n v="2.80217391304347"/>
  </r>
  <r>
    <x v="6"/>
    <d v="2025-01-15T00:00:00"/>
    <s v="Wednesday"/>
    <d v="1899-12-30T05:00:00"/>
    <s v="S25"/>
    <n v="36"/>
    <n v="36"/>
    <n v="6.8"/>
    <n v="12"/>
    <s v="South"/>
    <n v="0"/>
    <s v="No Event"/>
    <n v="39"/>
    <n v="37"/>
    <n v="2.8"/>
    <n v="0"/>
    <n v="5"/>
    <n v="1"/>
    <n v="2"/>
    <n v="0"/>
    <s v="Off-Peak"/>
    <n v="0"/>
    <n v="0.94871794871794801"/>
    <n v="0"/>
    <n v="3"/>
    <n v="5.2941176470588198"/>
    <n v="0"/>
    <n v="2.7611111111111102"/>
  </r>
  <r>
    <x v="5"/>
    <d v="2025-01-16T00:00:00"/>
    <s v="Thursday"/>
    <d v="1899-12-30T17:00:00"/>
    <s v="S23"/>
    <n v="101"/>
    <n v="86"/>
    <n v="12.5"/>
    <n v="22"/>
    <s v="Central"/>
    <n v="0"/>
    <s v="No Event"/>
    <n v="29"/>
    <n v="28"/>
    <n v="4.4000000000000004"/>
    <n v="0"/>
    <n v="17"/>
    <n v="1"/>
    <n v="3"/>
    <n v="0"/>
    <s v="Evening Peak"/>
    <n v="0"/>
    <n v="0.96551724137931005"/>
    <n v="0"/>
    <n v="4.5909090909090899"/>
    <n v="8.08"/>
    <n v="15"/>
    <n v="3.4760869565217298"/>
  </r>
  <r>
    <x v="5"/>
    <d v="2025-01-06T00:00:00"/>
    <s v="Monday"/>
    <d v="1899-12-30T17:15:00"/>
    <s v="S25"/>
    <n v="75"/>
    <n v="69"/>
    <n v="12.5"/>
    <n v="22"/>
    <s v="Central"/>
    <n v="0"/>
    <s v="No Event"/>
    <n v="38"/>
    <n v="35"/>
    <n v="5.9"/>
    <n v="0"/>
    <n v="17"/>
    <n v="1"/>
    <n v="0"/>
    <n v="0"/>
    <s v="Evening Peak"/>
    <n v="0"/>
    <n v="0.92105263157894701"/>
    <n v="1"/>
    <n v="3.4090909090908998"/>
    <n v="6"/>
    <n v="6"/>
    <n v="3.4760869565217298"/>
  </r>
  <r>
    <x v="9"/>
    <d v="2025-03-01T00:00:00"/>
    <s v="Saturday"/>
    <d v="1899-12-30T09:15:00"/>
    <s v="S20"/>
    <n v="57"/>
    <n v="49"/>
    <n v="15"/>
    <n v="28"/>
    <s v="North"/>
    <n v="0"/>
    <s v="No Event"/>
    <n v="21"/>
    <n v="20"/>
    <n v="10.6"/>
    <n v="0"/>
    <n v="9"/>
    <n v="3"/>
    <n v="5"/>
    <n v="1"/>
    <s v="Morning Peak"/>
    <n v="0"/>
    <n v="0.952380952380952"/>
    <n v="1"/>
    <n v="2.0357142857142798"/>
    <n v="3.8"/>
    <n v="8"/>
    <n v="9.4749999999999996"/>
  </r>
  <r>
    <x v="5"/>
    <d v="2025-02-02T00:00:00"/>
    <s v="Sunday"/>
    <d v="1899-12-30T07:15:00"/>
    <s v="S20"/>
    <n v="57"/>
    <n v="54"/>
    <n v="12.5"/>
    <n v="22"/>
    <s v="Central"/>
    <n v="0"/>
    <s v="No Event"/>
    <n v="22"/>
    <n v="21"/>
    <n v="2.2999999999999998"/>
    <n v="0"/>
    <n v="7"/>
    <n v="2"/>
    <n v="6"/>
    <n v="1"/>
    <s v="Morning Peak"/>
    <n v="0"/>
    <n v="0.95454545454545403"/>
    <n v="0"/>
    <n v="2.5909090909090899"/>
    <n v="4.5599999999999996"/>
    <n v="3"/>
    <n v="3.4760869565217298"/>
  </r>
  <r>
    <x v="9"/>
    <d v="2025-01-26T00:00:00"/>
    <s v="Sunday"/>
    <d v="1899-12-30T12:00:00"/>
    <s v="S13"/>
    <n v="40"/>
    <n v="35"/>
    <n v="15"/>
    <n v="28"/>
    <s v="North"/>
    <n v="1"/>
    <s v="No Event"/>
    <n v="19"/>
    <n v="16"/>
    <n v="20"/>
    <n v="0"/>
    <n v="12"/>
    <n v="1"/>
    <n v="6"/>
    <n v="1"/>
    <s v="Off-Peak"/>
    <n v="0"/>
    <n v="0.84210526315789402"/>
    <n v="1"/>
    <n v="1.4285714285714199"/>
    <n v="2.6666666666666599"/>
    <n v="5"/>
    <n v="9.4749999999999996"/>
  </r>
  <r>
    <x v="2"/>
    <d v="2025-01-29T00:00:00"/>
    <s v="Wednesday"/>
    <d v="1899-12-30T10:15:00"/>
    <s v="S12"/>
    <n v="55"/>
    <n v="51"/>
    <n v="18.399999999999999"/>
    <n v="32"/>
    <s v="East"/>
    <n v="0"/>
    <s v="No Event"/>
    <n v="37"/>
    <n v="35"/>
    <n v="8.8000000000000007"/>
    <n v="0"/>
    <n v="10"/>
    <n v="1"/>
    <n v="2"/>
    <n v="0"/>
    <s v="Off-Peak"/>
    <n v="0"/>
    <n v="0.94594594594594505"/>
    <n v="1"/>
    <n v="1.71875"/>
    <n v="2.9891304347826"/>
    <n v="4"/>
    <n v="8.6013888888888896"/>
  </r>
  <r>
    <x v="8"/>
    <d v="2025-02-10T00:00:00"/>
    <s v="Monday"/>
    <d v="1899-12-30T19:45:00"/>
    <s v="UNKNOWN"/>
    <n v="40"/>
    <n v="34"/>
    <n v="7.3"/>
    <n v="13"/>
    <s v="South"/>
    <n v="0"/>
    <s v="No Event"/>
    <n v="30"/>
    <n v="29"/>
    <n v="0.9"/>
    <n v="0"/>
    <n v="19"/>
    <n v="2"/>
    <n v="0"/>
    <n v="0"/>
    <s v="Evening Peak"/>
    <n v="0"/>
    <n v="0.96666666666666601"/>
    <n v="0"/>
    <n v="3.07692307692307"/>
    <n v="5.4794520547945202"/>
    <n v="6"/>
    <n v="4.0518518518518496"/>
  </r>
  <r>
    <x v="2"/>
    <d v="2025-02-20T00:00:00"/>
    <s v="Thursday"/>
    <d v="1899-12-30T16:15:00"/>
    <s v="S16"/>
    <n v="64"/>
    <n v="61"/>
    <n v="18.399999999999999"/>
    <n v="32"/>
    <s v="East"/>
    <n v="0"/>
    <s v="No Event"/>
    <n v="30"/>
    <n v="26"/>
    <n v="18.100000000000001"/>
    <n v="0"/>
    <n v="16"/>
    <n v="2"/>
    <n v="3"/>
    <n v="0"/>
    <s v="Off-Peak"/>
    <n v="0"/>
    <n v="0.86666666666666603"/>
    <n v="1"/>
    <n v="2"/>
    <n v="3.4782608695652102"/>
    <n v="3"/>
    <n v="8.6013888888888896"/>
  </r>
  <r>
    <x v="1"/>
    <d v="2025-01-10T00:00:00"/>
    <s v="Friday"/>
    <d v="1899-12-30T08:15:00"/>
    <s v="S19"/>
    <n v="78"/>
    <n v="71"/>
    <n v="9.5"/>
    <n v="17"/>
    <s v="North"/>
    <n v="0"/>
    <s v="No Event"/>
    <n v="35"/>
    <n v="33"/>
    <n v="0.6"/>
    <n v="0"/>
    <n v="8"/>
    <n v="1"/>
    <n v="4"/>
    <n v="0"/>
    <s v="Morning Peak"/>
    <n v="0"/>
    <n v="0.94285714285714195"/>
    <n v="0"/>
    <n v="4.5882352941176396"/>
    <n v="8.2105263157894708"/>
    <n v="7"/>
    <n v="3.8470588235294101"/>
  </r>
  <r>
    <x v="2"/>
    <d v="2025-02-05T00:00:00"/>
    <s v="Wednesday"/>
    <d v="1899-12-30T07:00:00"/>
    <s v="S12"/>
    <n v="96"/>
    <n v="87"/>
    <n v="18.399999999999999"/>
    <n v="32"/>
    <s v="East"/>
    <n v="0"/>
    <s v="No Event"/>
    <n v="32"/>
    <n v="27"/>
    <n v="5.2"/>
    <n v="0"/>
    <n v="7"/>
    <n v="2"/>
    <n v="2"/>
    <n v="0"/>
    <s v="Morning Peak"/>
    <n v="0"/>
    <n v="0.84375"/>
    <n v="1"/>
    <n v="3"/>
    <n v="5.2173913043478199"/>
    <n v="9"/>
    <n v="8.6013888888888896"/>
  </r>
  <r>
    <x v="9"/>
    <d v="2025-02-17T00:00:00"/>
    <s v="Monday"/>
    <d v="1899-12-30T17:45:00"/>
    <s v="S05"/>
    <n v="100"/>
    <n v="91"/>
    <n v="15"/>
    <n v="28"/>
    <s v="North"/>
    <n v="0"/>
    <s v="No Event"/>
    <n v="32"/>
    <n v="27"/>
    <n v="8.8000000000000007"/>
    <n v="0"/>
    <n v="17"/>
    <n v="2"/>
    <n v="0"/>
    <n v="0"/>
    <s v="Evening Peak"/>
    <n v="0"/>
    <n v="0.84375"/>
    <n v="1"/>
    <n v="3.5714285714285698"/>
    <n v="6.6666666666666599"/>
    <n v="9"/>
    <n v="9.4749999999999996"/>
  </r>
  <r>
    <x v="4"/>
    <d v="2025-02-28T00:00:00"/>
    <s v="Friday"/>
    <d v="1899-12-30T14:30:00"/>
    <s v="S06"/>
    <n v="54"/>
    <n v="53"/>
    <n v="14.2"/>
    <n v="25"/>
    <s v="East"/>
    <n v="0"/>
    <s v="No Event"/>
    <n v="29"/>
    <n v="26"/>
    <n v="8.9"/>
    <n v="0"/>
    <n v="14"/>
    <n v="2"/>
    <n v="4"/>
    <n v="0"/>
    <s v="Off-Peak"/>
    <n v="0"/>
    <n v="0.89655172413793105"/>
    <n v="1"/>
    <n v="2.16"/>
    <n v="3.8028169014084501"/>
    <n v="1"/>
    <n v="8.3255319148936096"/>
  </r>
  <r>
    <x v="8"/>
    <d v="2025-02-14T00:00:00"/>
    <s v="Friday"/>
    <d v="1899-12-30T13:45:00"/>
    <s v="S25"/>
    <n v="35"/>
    <n v="31"/>
    <n v="7.3"/>
    <n v="13"/>
    <s v="South"/>
    <n v="0"/>
    <s v="No Event"/>
    <n v="28"/>
    <n v="26"/>
    <n v="3.1"/>
    <n v="1"/>
    <n v="13"/>
    <n v="2"/>
    <n v="4"/>
    <n v="0"/>
    <s v="Off-Peak"/>
    <n v="0"/>
    <n v="0.92857142857142805"/>
    <n v="0"/>
    <n v="2.6923076923076898"/>
    <n v="4.7945205479451998"/>
    <n v="4"/>
    <n v="4.0518518518518496"/>
  </r>
  <r>
    <x v="9"/>
    <d v="2025-02-19T00:00:00"/>
    <s v="Wednesday"/>
    <d v="1899-12-30T18:00:00"/>
    <s v="S06"/>
    <n v="121"/>
    <n v="111"/>
    <n v="15"/>
    <n v="28"/>
    <s v="North"/>
    <n v="0"/>
    <s v="No Event"/>
    <n v="25"/>
    <n v="21"/>
    <n v="9.1"/>
    <n v="1"/>
    <n v="18"/>
    <n v="2"/>
    <n v="2"/>
    <n v="0"/>
    <s v="Evening Peak"/>
    <n v="0"/>
    <n v="0.84"/>
    <n v="1"/>
    <n v="4.3214285714285703"/>
    <n v="8.0666666666666593"/>
    <n v="10"/>
    <n v="9.4749999999999996"/>
  </r>
  <r>
    <x v="8"/>
    <d v="2025-02-19T00:00:00"/>
    <s v="Wednesday"/>
    <d v="1899-12-30T17:30:00"/>
    <s v="S09"/>
    <n v="60"/>
    <n v="53"/>
    <n v="7.3"/>
    <n v="13"/>
    <s v="South"/>
    <n v="0"/>
    <s v="No Event"/>
    <n v="37"/>
    <n v="36"/>
    <n v="10.4"/>
    <n v="0"/>
    <n v="17"/>
    <n v="2"/>
    <n v="2"/>
    <n v="0"/>
    <s v="Evening Peak"/>
    <n v="0"/>
    <n v="0.97297297297297303"/>
    <n v="1"/>
    <n v="4.6153846153846096"/>
    <n v="8.2191780821917799"/>
    <n v="7"/>
    <n v="4.0518518518518496"/>
  </r>
  <r>
    <x v="5"/>
    <d v="2025-02-02T00:00:00"/>
    <s v="Sunday"/>
    <d v="1899-12-30T16:15:00"/>
    <s v="S25"/>
    <n v="37"/>
    <n v="34"/>
    <n v="12.5"/>
    <n v="22"/>
    <s v="Central"/>
    <n v="0"/>
    <s v="No Event"/>
    <n v="22"/>
    <n v="21"/>
    <n v="2.2999999999999998"/>
    <n v="0"/>
    <n v="16"/>
    <n v="2"/>
    <n v="6"/>
    <n v="1"/>
    <s v="Off-Peak"/>
    <n v="0"/>
    <n v="0.95454545454545403"/>
    <n v="0"/>
    <n v="1.6818181818181801"/>
    <n v="2.96"/>
    <n v="3"/>
    <n v="3.4760869565217298"/>
  </r>
  <r>
    <x v="2"/>
    <d v="2025-02-02T00:00:00"/>
    <s v="Sunday"/>
    <d v="1899-12-30T10:45:00"/>
    <s v="S06"/>
    <n v="42"/>
    <n v="42"/>
    <n v="18.399999999999999"/>
    <n v="32"/>
    <s v="East"/>
    <n v="0"/>
    <s v="No Event"/>
    <n v="22"/>
    <n v="20"/>
    <n v="14.2"/>
    <n v="0"/>
    <n v="10"/>
    <n v="2"/>
    <n v="6"/>
    <n v="1"/>
    <s v="Off-Peak"/>
    <n v="0"/>
    <n v="0.90909090909090895"/>
    <n v="1"/>
    <n v="1.3125"/>
    <n v="2.2826086956521698"/>
    <n v="0"/>
    <n v="8.6013888888888896"/>
  </r>
  <r>
    <x v="5"/>
    <d v="2025-01-27T00:00:00"/>
    <s v="Monday"/>
    <d v="1899-12-30T08:00:00"/>
    <s v="S01"/>
    <n v="93"/>
    <n v="92"/>
    <n v="12.5"/>
    <n v="22"/>
    <s v="Central"/>
    <n v="0"/>
    <s v="No Event"/>
    <n v="24"/>
    <n v="23"/>
    <n v="0.5"/>
    <n v="0"/>
    <n v="8"/>
    <n v="1"/>
    <n v="0"/>
    <n v="0"/>
    <s v="Morning Peak"/>
    <n v="0"/>
    <n v="0.95833333333333304"/>
    <n v="0"/>
    <n v="4.2272727272727204"/>
    <n v="7.44"/>
    <n v="1"/>
    <n v="3.4760869565217298"/>
  </r>
  <r>
    <x v="2"/>
    <d v="2025-02-16T00:00:00"/>
    <s v="Sunday"/>
    <d v="1899-12-30T15:45:00"/>
    <s v="S19"/>
    <n v="46"/>
    <n v="46"/>
    <n v="18.399999999999999"/>
    <n v="32"/>
    <s v="East"/>
    <n v="0"/>
    <s v="No Event"/>
    <n v="25"/>
    <n v="23"/>
    <n v="9.4"/>
    <n v="0"/>
    <n v="15"/>
    <n v="2"/>
    <n v="6"/>
    <n v="1"/>
    <s v="Off-Peak"/>
    <n v="0"/>
    <n v="0.92"/>
    <n v="1"/>
    <n v="1.4375"/>
    <n v="2.5"/>
    <n v="0"/>
    <n v="8.6013888888888896"/>
  </r>
  <r>
    <x v="5"/>
    <d v="2025-02-24T00:00:00"/>
    <s v="Monday"/>
    <d v="1899-12-30T08:00:00"/>
    <s v="S01"/>
    <n v="69"/>
    <n v="65"/>
    <n v="12.5"/>
    <n v="22"/>
    <s v="Central"/>
    <n v="0"/>
    <s v="No Event"/>
    <n v="21"/>
    <n v="20"/>
    <n v="3.5"/>
    <n v="0"/>
    <n v="8"/>
    <n v="2"/>
    <n v="0"/>
    <n v="0"/>
    <s v="Morning Peak"/>
    <n v="0"/>
    <n v="0.952380952380952"/>
    <n v="0"/>
    <n v="3.13636363636363"/>
    <n v="5.52"/>
    <n v="4"/>
    <n v="3.4760869565217298"/>
  </r>
  <r>
    <x v="0"/>
    <d v="2025-02-23T00:00:00"/>
    <s v="Sunday"/>
    <d v="1899-12-30T14:15:00"/>
    <s v="S23"/>
    <n v="32"/>
    <n v="32"/>
    <n v="10.1"/>
    <n v="19"/>
    <s v="West"/>
    <n v="0"/>
    <s v="No Event"/>
    <n v="32"/>
    <n v="30"/>
    <n v="2.5"/>
    <n v="0"/>
    <n v="14"/>
    <n v="2"/>
    <n v="6"/>
    <n v="1"/>
    <s v="Off-Peak"/>
    <n v="0"/>
    <n v="0.9375"/>
    <n v="0"/>
    <n v="1.6842105263157801"/>
    <n v="3.16831683168316"/>
    <n v="0"/>
    <n v="3.6613636363636299"/>
  </r>
  <r>
    <x v="1"/>
    <d v="2025-02-16T00:00:00"/>
    <s v="Sunday"/>
    <d v="1899-12-30T13:15:00"/>
    <s v="S01"/>
    <n v="26"/>
    <n v="23"/>
    <n v="9.5"/>
    <n v="17"/>
    <s v="North"/>
    <n v="0"/>
    <s v="No Event"/>
    <n v="18"/>
    <n v="17"/>
    <n v="4.4000000000000004"/>
    <n v="0"/>
    <n v="13"/>
    <n v="2"/>
    <n v="6"/>
    <n v="1"/>
    <s v="Off-Peak"/>
    <n v="0"/>
    <n v="0.94444444444444398"/>
    <n v="0"/>
    <n v="1.52941176470588"/>
    <n v="2.73684210526315"/>
    <n v="3"/>
    <n v="3.8470588235294101"/>
  </r>
  <r>
    <x v="5"/>
    <d v="2025-02-03T00:00:00"/>
    <s v="Monday"/>
    <d v="1899-12-30T17:15:00"/>
    <s v="S19"/>
    <n v="76"/>
    <n v="71"/>
    <n v="12.5"/>
    <n v="22"/>
    <s v="Central"/>
    <n v="0"/>
    <s v="No Event"/>
    <n v="30"/>
    <n v="30"/>
    <n v="0.3"/>
    <n v="0"/>
    <n v="17"/>
    <n v="2"/>
    <n v="0"/>
    <n v="0"/>
    <s v="Evening Peak"/>
    <n v="0"/>
    <n v="1"/>
    <n v="0"/>
    <n v="3.4545454545454501"/>
    <n v="6.08"/>
    <n v="5"/>
    <n v="3.4760869565217298"/>
  </r>
  <r>
    <x v="9"/>
    <d v="2025-01-18T00:00:00"/>
    <s v="Saturday"/>
    <d v="1899-12-30T07:00:00"/>
    <s v="S23"/>
    <n v="92"/>
    <n v="86"/>
    <n v="15"/>
    <n v="28"/>
    <s v="North"/>
    <n v="0"/>
    <s v="Concert"/>
    <n v="30"/>
    <n v="28"/>
    <n v="9.1"/>
    <n v="0"/>
    <n v="7"/>
    <n v="1"/>
    <n v="5"/>
    <n v="1"/>
    <s v="Morning Peak"/>
    <n v="1"/>
    <n v="0.93333333333333302"/>
    <n v="1"/>
    <n v="3.2857142857142798"/>
    <n v="6.1333333333333302"/>
    <n v="6"/>
    <n v="9.4749999999999996"/>
  </r>
  <r>
    <x v="3"/>
    <d v="2025-01-26T00:00:00"/>
    <s v="Sunday"/>
    <d v="1899-12-30T17:00:00"/>
    <s v="S09"/>
    <n v="53"/>
    <n v="48"/>
    <n v="8.1999999999999993"/>
    <n v="15"/>
    <s v="Central"/>
    <n v="1"/>
    <s v="No Event"/>
    <n v="19"/>
    <n v="19"/>
    <n v="2.5"/>
    <n v="0"/>
    <n v="17"/>
    <n v="1"/>
    <n v="6"/>
    <n v="1"/>
    <s v="Evening Peak"/>
    <n v="0"/>
    <n v="1"/>
    <n v="0"/>
    <n v="3.5333333333333301"/>
    <n v="6.4634146341463401"/>
    <n v="5"/>
    <n v="3.6937500000000001"/>
  </r>
  <r>
    <x v="1"/>
    <d v="2025-02-12T00:00:00"/>
    <s v="Wednesday"/>
    <d v="1899-12-30T16:45:00"/>
    <s v="S23"/>
    <n v="37"/>
    <n v="32"/>
    <n v="9.5"/>
    <n v="17"/>
    <s v="North"/>
    <n v="0"/>
    <s v="No Event"/>
    <n v="37"/>
    <n v="36"/>
    <n v="3.1"/>
    <n v="0"/>
    <n v="16"/>
    <n v="2"/>
    <n v="2"/>
    <n v="0"/>
    <s v="Off-Peak"/>
    <n v="0"/>
    <n v="0.97297297297297303"/>
    <n v="0"/>
    <n v="2.1764705882352899"/>
    <n v="3.8947368421052602"/>
    <n v="5"/>
    <n v="3.8470588235294101"/>
  </r>
  <r>
    <x v="2"/>
    <d v="2025-01-08T00:00:00"/>
    <s v="Wednesday"/>
    <d v="1899-12-30T13:15:00"/>
    <s v="S10"/>
    <n v="48"/>
    <n v="47"/>
    <n v="18.399999999999999"/>
    <n v="32"/>
    <s v="East"/>
    <n v="0"/>
    <s v="No Event"/>
    <n v="25"/>
    <n v="24"/>
    <n v="8.8000000000000007"/>
    <n v="1"/>
    <n v="13"/>
    <n v="1"/>
    <n v="2"/>
    <n v="0"/>
    <s v="Off-Peak"/>
    <n v="0"/>
    <n v="0.96"/>
    <n v="1"/>
    <n v="1.5"/>
    <n v="2.60869565217391"/>
    <n v="1"/>
    <n v="8.6013888888888896"/>
  </r>
  <r>
    <x v="9"/>
    <d v="2025-01-24T00:00:00"/>
    <s v="Friday"/>
    <d v="1899-12-30T15:00:00"/>
    <s v="S25"/>
    <n v="55"/>
    <n v="54"/>
    <n v="15"/>
    <n v="28"/>
    <s v="North"/>
    <n v="0"/>
    <s v="No Event"/>
    <n v="37"/>
    <n v="33"/>
    <n v="5.0999999999999996"/>
    <n v="0"/>
    <n v="15"/>
    <n v="1"/>
    <n v="4"/>
    <n v="0"/>
    <s v="Off-Peak"/>
    <n v="0"/>
    <n v="0.891891891891891"/>
    <n v="1"/>
    <n v="1.96428571428571"/>
    <n v="3.6666666666666599"/>
    <n v="1"/>
    <n v="9.4749999999999996"/>
  </r>
  <r>
    <x v="4"/>
    <d v="2025-01-26T00:00:00"/>
    <s v="Sunday"/>
    <d v="1899-12-30T17:30:00"/>
    <s v="S01"/>
    <n v="72"/>
    <n v="62"/>
    <n v="14.2"/>
    <n v="25"/>
    <s v="East"/>
    <n v="1"/>
    <s v="No Event"/>
    <n v="39"/>
    <n v="35"/>
    <n v="3.9"/>
    <n v="0"/>
    <n v="17"/>
    <n v="1"/>
    <n v="6"/>
    <n v="1"/>
    <s v="Evening Peak"/>
    <n v="0"/>
    <n v="0.89743589743589702"/>
    <n v="0"/>
    <n v="2.88"/>
    <n v="5.07042253521126"/>
    <n v="10"/>
    <n v="8.3255319148936096"/>
  </r>
  <r>
    <x v="2"/>
    <d v="2025-01-14T00:00:00"/>
    <s v="Tuesday"/>
    <d v="1899-12-30T16:15:00"/>
    <s v="S14"/>
    <n v="63"/>
    <n v="60"/>
    <n v="18.399999999999999"/>
    <n v="32"/>
    <s v="East"/>
    <n v="1"/>
    <s v="No Event"/>
    <n v="18"/>
    <n v="17"/>
    <n v="5.9"/>
    <n v="0"/>
    <n v="16"/>
    <n v="1"/>
    <n v="1"/>
    <n v="0"/>
    <s v="Off-Peak"/>
    <n v="0"/>
    <n v="0.94444444444444398"/>
    <n v="1"/>
    <n v="1.96875"/>
    <n v="3.4239130434782599"/>
    <n v="3"/>
    <n v="8.6013888888888896"/>
  </r>
  <r>
    <x v="2"/>
    <d v="2025-02-26T00:00:00"/>
    <s v="Wednesday"/>
    <d v="1899-12-30T19:00:00"/>
    <s v="S20"/>
    <n v="88"/>
    <n v="76"/>
    <n v="18.399999999999999"/>
    <n v="32"/>
    <s v="East"/>
    <n v="0"/>
    <s v="No Event"/>
    <n v="38"/>
    <n v="32"/>
    <n v="14.9"/>
    <n v="0"/>
    <n v="19"/>
    <n v="2"/>
    <n v="2"/>
    <n v="0"/>
    <s v="Evening Peak"/>
    <n v="0"/>
    <n v="0.84210526315789402"/>
    <n v="1"/>
    <n v="2.75"/>
    <n v="4.7826086956521703"/>
    <n v="12"/>
    <n v="8.6013888888888896"/>
  </r>
  <r>
    <x v="5"/>
    <d v="2025-01-25T00:00:00"/>
    <s v="Saturday"/>
    <d v="1899-12-30T06:45:00"/>
    <s v="S03"/>
    <n v="43"/>
    <n v="41"/>
    <n v="12.5"/>
    <n v="22"/>
    <s v="Central"/>
    <n v="0"/>
    <s v="Festival"/>
    <n v="19"/>
    <n v="18"/>
    <n v="0.9"/>
    <n v="0"/>
    <n v="6"/>
    <n v="1"/>
    <n v="5"/>
    <n v="1"/>
    <s v="Off-Peak"/>
    <n v="1"/>
    <n v="0.94736842105263097"/>
    <n v="0"/>
    <n v="1.9545454545454499"/>
    <n v="3.44"/>
    <n v="2"/>
    <n v="3.4760869565217298"/>
  </r>
  <r>
    <x v="3"/>
    <d v="2025-01-06T00:00:00"/>
    <s v="Monday"/>
    <d v="1899-12-30T15:15:00"/>
    <s v="S25"/>
    <n v="32"/>
    <n v="31"/>
    <n v="8.1999999999999993"/>
    <n v="15"/>
    <s v="Central"/>
    <n v="0"/>
    <s v="No Event"/>
    <n v="30"/>
    <n v="30"/>
    <n v="4.3"/>
    <n v="0"/>
    <n v="15"/>
    <n v="1"/>
    <n v="0"/>
    <n v="0"/>
    <s v="Off-Peak"/>
    <n v="0"/>
    <n v="1"/>
    <n v="0"/>
    <n v="2.1333333333333302"/>
    <n v="3.9024390243902398"/>
    <n v="1"/>
    <n v="3.6937500000000001"/>
  </r>
  <r>
    <x v="0"/>
    <d v="2025-02-26T00:00:00"/>
    <s v="Wednesday"/>
    <d v="1899-12-30T07:00:00"/>
    <s v="S25"/>
    <n v="71"/>
    <n v="65"/>
    <n v="10.1"/>
    <n v="19"/>
    <s v="West"/>
    <n v="0"/>
    <s v="No Event"/>
    <n v="36"/>
    <n v="35"/>
    <n v="2.2999999999999998"/>
    <n v="0"/>
    <n v="7"/>
    <n v="2"/>
    <n v="2"/>
    <n v="0"/>
    <s v="Morning Peak"/>
    <n v="0"/>
    <n v="0.97222222222222199"/>
    <n v="0"/>
    <n v="3.73684210526315"/>
    <n v="7.0297029702970297"/>
    <n v="6"/>
    <n v="3.6613636363636299"/>
  </r>
  <r>
    <x v="9"/>
    <d v="2025-01-08T00:00:00"/>
    <s v="Wednesday"/>
    <d v="1899-12-30T05:15:00"/>
    <s v="S01"/>
    <n v="48"/>
    <n v="42"/>
    <n v="15"/>
    <n v="28"/>
    <s v="North"/>
    <n v="0"/>
    <s v="No Event"/>
    <n v="26"/>
    <n v="21"/>
    <n v="13.8"/>
    <n v="0"/>
    <n v="5"/>
    <n v="1"/>
    <n v="2"/>
    <n v="0"/>
    <s v="Off-Peak"/>
    <n v="0"/>
    <n v="0.80769230769230704"/>
    <n v="1"/>
    <n v="1.71428571428571"/>
    <n v="3.2"/>
    <n v="6"/>
    <n v="9.4749999999999996"/>
  </r>
  <r>
    <x v="9"/>
    <d v="2025-02-22T00:00:00"/>
    <s v="Saturday"/>
    <d v="1899-12-30T09:15:00"/>
    <s v="S15"/>
    <n v="102"/>
    <n v="96"/>
    <n v="15"/>
    <n v="28"/>
    <s v="North"/>
    <n v="0"/>
    <s v="Festival"/>
    <n v="28"/>
    <n v="26"/>
    <n v="9.6"/>
    <n v="0"/>
    <n v="9"/>
    <n v="2"/>
    <n v="5"/>
    <n v="1"/>
    <s v="Morning Peak"/>
    <n v="1"/>
    <n v="0.92857142857142805"/>
    <n v="1"/>
    <n v="3.6428571428571401"/>
    <n v="6.8"/>
    <n v="6"/>
    <n v="9.4749999999999996"/>
  </r>
  <r>
    <x v="5"/>
    <d v="2025-02-13T00:00:00"/>
    <s v="Thursday"/>
    <d v="1899-12-30T05:00:00"/>
    <s v="S25"/>
    <n v="41"/>
    <n v="41"/>
    <n v="12.5"/>
    <n v="22"/>
    <s v="Central"/>
    <n v="0"/>
    <s v="No Event"/>
    <n v="32"/>
    <n v="32"/>
    <n v="9.5"/>
    <n v="0"/>
    <n v="5"/>
    <n v="2"/>
    <n v="3"/>
    <n v="0"/>
    <s v="Off-Peak"/>
    <n v="0"/>
    <n v="1"/>
    <n v="1"/>
    <n v="1.86363636363636"/>
    <n v="3.28"/>
    <n v="0"/>
    <n v="3.4760869565217298"/>
  </r>
  <r>
    <x v="7"/>
    <d v="2025-01-29T00:00:00"/>
    <s v="Wednesday"/>
    <d v="1899-12-30T08:30:00"/>
    <s v="S16"/>
    <n v="99"/>
    <n v="90"/>
    <n v="11.6"/>
    <n v="21"/>
    <s v="West"/>
    <n v="0"/>
    <s v="No Event"/>
    <n v="24"/>
    <n v="23"/>
    <n v="1.2"/>
    <n v="0"/>
    <n v="8"/>
    <n v="1"/>
    <n v="2"/>
    <n v="0"/>
    <s v="Morning Peak"/>
    <n v="0"/>
    <n v="0.95833333333333304"/>
    <n v="0"/>
    <n v="4.71428571428571"/>
    <n v="8.5344827586206904"/>
    <n v="9"/>
    <n v="2.80217391304347"/>
  </r>
  <r>
    <x v="2"/>
    <d v="2025-02-23T00:00:00"/>
    <s v="Sunday"/>
    <d v="1899-12-30T13:15:00"/>
    <s v="S03"/>
    <n v="37"/>
    <n v="32"/>
    <n v="18.399999999999999"/>
    <n v="32"/>
    <s v="East"/>
    <n v="0"/>
    <s v="No Event"/>
    <n v="29"/>
    <n v="23"/>
    <n v="3.4"/>
    <n v="0"/>
    <n v="13"/>
    <n v="2"/>
    <n v="6"/>
    <n v="1"/>
    <s v="Off-Peak"/>
    <n v="0"/>
    <n v="0.79310344827586199"/>
    <n v="0"/>
    <n v="1.15625"/>
    <n v="2.0108695652173898"/>
    <n v="5"/>
    <n v="8.6013888888888896"/>
  </r>
  <r>
    <x v="1"/>
    <d v="2025-01-13T00:00:00"/>
    <s v="Monday"/>
    <d v="1899-12-30T13:45:00"/>
    <s v="S20"/>
    <n v="37"/>
    <n v="32"/>
    <n v="9.5"/>
    <n v="17"/>
    <s v="North"/>
    <n v="0"/>
    <s v="No Event"/>
    <n v="35"/>
    <n v="34"/>
    <n v="4.7"/>
    <n v="0"/>
    <n v="13"/>
    <n v="1"/>
    <n v="0"/>
    <n v="0"/>
    <s v="Off-Peak"/>
    <n v="0"/>
    <n v="0.97142857142857097"/>
    <n v="0"/>
    <n v="2.1764705882352899"/>
    <n v="3.8947368421052602"/>
    <n v="5"/>
    <n v="3.8470588235294101"/>
  </r>
  <r>
    <x v="5"/>
    <d v="2025-01-26T00:00:00"/>
    <s v="Sunday"/>
    <d v="1899-12-30T13:15:00"/>
    <s v="S25"/>
    <n v="29"/>
    <n v="28"/>
    <n v="12.5"/>
    <n v="22"/>
    <s v="Central"/>
    <n v="1"/>
    <s v="No Event"/>
    <n v="22"/>
    <n v="21"/>
    <n v="4.7"/>
    <n v="0"/>
    <n v="13"/>
    <n v="1"/>
    <n v="6"/>
    <n v="1"/>
    <s v="Off-Peak"/>
    <n v="0"/>
    <n v="0.95454545454545403"/>
    <n v="0"/>
    <n v="1.3181818181818099"/>
    <n v="2.3199999999999998"/>
    <n v="1"/>
    <n v="3.4760869565217298"/>
  </r>
  <r>
    <x v="1"/>
    <d v="2025-01-24T00:00:00"/>
    <s v="Friday"/>
    <d v="1899-12-30T14:00:00"/>
    <s v="S20"/>
    <n v="38"/>
    <n v="32"/>
    <n v="9.5"/>
    <n v="17"/>
    <s v="North"/>
    <n v="0"/>
    <s v="No Event"/>
    <n v="23"/>
    <n v="21"/>
    <n v="0.9"/>
    <n v="0"/>
    <n v="14"/>
    <n v="1"/>
    <n v="4"/>
    <n v="0"/>
    <s v="Off-Peak"/>
    <n v="0"/>
    <n v="0.91304347826086896"/>
    <n v="0"/>
    <n v="2.23529411764705"/>
    <n v="4"/>
    <n v="6"/>
    <n v="3.8470588235294101"/>
  </r>
  <r>
    <x v="9"/>
    <d v="2025-01-15T00:00:00"/>
    <s v="Wednesday"/>
    <d v="1899-12-30T09:30:00"/>
    <s v="S01"/>
    <n v="80"/>
    <n v="79"/>
    <n v="15"/>
    <n v="28"/>
    <s v="North"/>
    <n v="0"/>
    <s v="No Event"/>
    <n v="31"/>
    <n v="25"/>
    <n v="9.9"/>
    <n v="0"/>
    <n v="9"/>
    <n v="1"/>
    <n v="2"/>
    <n v="0"/>
    <s v="Morning Peak"/>
    <n v="0"/>
    <n v="0.80645161290322498"/>
    <n v="1"/>
    <n v="2.8571428571428501"/>
    <n v="5.3333333333333304"/>
    <n v="1"/>
    <n v="9.4749999999999996"/>
  </r>
  <r>
    <x v="5"/>
    <d v="2025-01-13T00:00:00"/>
    <s v="Monday"/>
    <d v="1899-12-30T14:00:00"/>
    <s v="S18"/>
    <n v="50"/>
    <n v="45"/>
    <n v="12.5"/>
    <n v="22"/>
    <s v="Central"/>
    <n v="0"/>
    <s v="No Event"/>
    <n v="36"/>
    <n v="34"/>
    <n v="1.2"/>
    <n v="0"/>
    <n v="14"/>
    <n v="1"/>
    <n v="0"/>
    <n v="0"/>
    <s v="Off-Peak"/>
    <n v="0"/>
    <n v="0.94444444444444398"/>
    <n v="0"/>
    <n v="2.2727272727272698"/>
    <n v="4"/>
    <n v="5"/>
    <n v="3.4760869565217298"/>
  </r>
  <r>
    <x v="3"/>
    <d v="2025-01-23T00:00:00"/>
    <s v="Thursday"/>
    <d v="1899-12-30T17:00:00"/>
    <s v="S23"/>
    <n v="77"/>
    <n v="71"/>
    <n v="8.1999999999999993"/>
    <n v="15"/>
    <s v="Central"/>
    <n v="0"/>
    <s v="No Event"/>
    <n v="39"/>
    <n v="38"/>
    <n v="2.7"/>
    <n v="0"/>
    <n v="17"/>
    <n v="1"/>
    <n v="3"/>
    <n v="0"/>
    <s v="Evening Peak"/>
    <n v="0"/>
    <n v="0.97435897435897401"/>
    <n v="0"/>
    <n v="5.1333333333333302"/>
    <n v="9.3902439024390194"/>
    <n v="6"/>
    <n v="3.6937500000000001"/>
  </r>
  <r>
    <x v="2"/>
    <d v="2025-01-28T00:00:00"/>
    <s v="Tuesday"/>
    <d v="1899-12-30T15:30:00"/>
    <s v="S25"/>
    <n v="54"/>
    <n v="51"/>
    <n v="18.399999999999999"/>
    <n v="32"/>
    <s v="East"/>
    <n v="0"/>
    <s v="No Event"/>
    <n v="31"/>
    <n v="28"/>
    <n v="3.8"/>
    <n v="0"/>
    <n v="15"/>
    <n v="1"/>
    <n v="1"/>
    <n v="0"/>
    <s v="Off-Peak"/>
    <n v="0"/>
    <n v="0.90322580645161199"/>
    <n v="0"/>
    <n v="1.6875"/>
    <n v="2.9347826086956501"/>
    <n v="3"/>
    <n v="8.6013888888888896"/>
  </r>
  <r>
    <x v="1"/>
    <d v="2025-01-04T00:00:00"/>
    <s v="Saturday"/>
    <d v="1899-12-30T14:00:00"/>
    <s v="S16"/>
    <n v="35"/>
    <n v="30"/>
    <n v="9.5"/>
    <n v="17"/>
    <s v="North"/>
    <n v="0"/>
    <s v="No Event"/>
    <n v="30"/>
    <n v="30"/>
    <n v="3.8"/>
    <n v="0"/>
    <n v="14"/>
    <n v="1"/>
    <n v="5"/>
    <n v="1"/>
    <s v="Off-Peak"/>
    <n v="0"/>
    <n v="1"/>
    <n v="0"/>
    <n v="2.0588235294117601"/>
    <n v="3.6842105263157801"/>
    <n v="5"/>
    <n v="3.8470588235294101"/>
  </r>
  <r>
    <x v="2"/>
    <d v="2025-01-27T00:00:00"/>
    <s v="Monday"/>
    <d v="1899-12-30T05:30:00"/>
    <s v="S04"/>
    <n v="64"/>
    <n v="57"/>
    <n v="18.399999999999999"/>
    <n v="32"/>
    <s v="East"/>
    <n v="0"/>
    <s v="No Event"/>
    <n v="33"/>
    <n v="27"/>
    <n v="8.8000000000000007"/>
    <n v="1"/>
    <n v="5"/>
    <n v="1"/>
    <n v="0"/>
    <n v="0"/>
    <s v="Off-Peak"/>
    <n v="0"/>
    <n v="0.81818181818181801"/>
    <n v="1"/>
    <n v="2"/>
    <n v="3.4782608695652102"/>
    <n v="7"/>
    <n v="8.6013888888888896"/>
  </r>
  <r>
    <x v="4"/>
    <d v="2025-02-18T00:00:00"/>
    <s v="Tuesday"/>
    <d v="1899-12-30T10:15:00"/>
    <s v="S03"/>
    <n v="45"/>
    <n v="43"/>
    <n v="14.2"/>
    <n v="25"/>
    <s v="East"/>
    <n v="0"/>
    <s v="No Event"/>
    <n v="23"/>
    <n v="20"/>
    <n v="2.2999999999999998"/>
    <n v="0"/>
    <n v="10"/>
    <n v="2"/>
    <n v="1"/>
    <n v="0"/>
    <s v="Off-Peak"/>
    <n v="0"/>
    <n v="0.86956521739130399"/>
    <n v="0"/>
    <n v="1.8"/>
    <n v="3.1690140845070398"/>
    <n v="2"/>
    <n v="8.3255319148936096"/>
  </r>
  <r>
    <x v="0"/>
    <d v="2025-02-09T00:00:00"/>
    <s v="Sunday"/>
    <d v="1899-12-30T11:45:00"/>
    <s v="S01"/>
    <n v="30"/>
    <n v="27"/>
    <n v="10.1"/>
    <n v="19"/>
    <s v="West"/>
    <n v="0"/>
    <s v="No Event"/>
    <n v="31"/>
    <n v="30"/>
    <n v="7.8"/>
    <n v="0"/>
    <n v="11"/>
    <n v="2"/>
    <n v="6"/>
    <n v="1"/>
    <s v="Off-Peak"/>
    <n v="0"/>
    <n v="0.967741935483871"/>
    <n v="1"/>
    <n v="1.57894736842105"/>
    <n v="2.9702970297029698"/>
    <n v="3"/>
    <n v="3.6613636363636299"/>
  </r>
  <r>
    <x v="2"/>
    <d v="2025-01-25T00:00:00"/>
    <s v="Saturday"/>
    <d v="1899-12-30T16:00:00"/>
    <s v="S20"/>
    <n v="58"/>
    <n v="50"/>
    <n v="18.399999999999999"/>
    <n v="32"/>
    <s v="East"/>
    <n v="0"/>
    <s v="Festival"/>
    <n v="24"/>
    <n v="19"/>
    <n v="2.8"/>
    <n v="0"/>
    <n v="16"/>
    <n v="1"/>
    <n v="5"/>
    <n v="1"/>
    <s v="Off-Peak"/>
    <n v="1"/>
    <n v="0.79166666666666596"/>
    <n v="0"/>
    <n v="1.8125"/>
    <n v="3.1521739130434701"/>
    <n v="8"/>
    <n v="8.6013888888888896"/>
  </r>
  <r>
    <x v="5"/>
    <d v="2025-02-13T00:00:00"/>
    <s v="Thursday"/>
    <d v="1899-12-30T07:15:00"/>
    <s v="S16"/>
    <n v="97"/>
    <n v="97"/>
    <n v="12.5"/>
    <n v="22"/>
    <s v="Central"/>
    <n v="0"/>
    <s v="No Event"/>
    <n v="32"/>
    <n v="32"/>
    <n v="9.5"/>
    <n v="0"/>
    <n v="7"/>
    <n v="2"/>
    <n v="3"/>
    <n v="0"/>
    <s v="Morning Peak"/>
    <n v="0"/>
    <n v="1"/>
    <n v="1"/>
    <n v="4.4090909090909003"/>
    <n v="7.76"/>
    <n v="0"/>
    <n v="3.4760869565217298"/>
  </r>
  <r>
    <x v="9"/>
    <d v="2025-01-30T00:00:00"/>
    <s v="Thursday"/>
    <d v="1899-12-30T10:00:00"/>
    <s v="S25"/>
    <n v="55"/>
    <n v="50"/>
    <n v="15"/>
    <n v="28"/>
    <s v="North"/>
    <n v="0"/>
    <s v="No Event"/>
    <n v="34"/>
    <n v="29"/>
    <n v="9.1"/>
    <n v="1"/>
    <n v="10"/>
    <n v="1"/>
    <n v="3"/>
    <n v="0"/>
    <s v="Off-Peak"/>
    <n v="0"/>
    <n v="0.85294117647058798"/>
    <n v="1"/>
    <n v="1.96428571428571"/>
    <n v="3.6666666666666599"/>
    <n v="5"/>
    <n v="9.4749999999999996"/>
  </r>
  <r>
    <x v="5"/>
    <d v="2025-01-30T00:00:00"/>
    <s v="Thursday"/>
    <d v="1899-12-30T16:15:00"/>
    <s v="S15"/>
    <n v="34"/>
    <n v="30"/>
    <n v="12.5"/>
    <n v="22"/>
    <s v="Central"/>
    <n v="0"/>
    <s v="No Event"/>
    <n v="25"/>
    <n v="24"/>
    <n v="1.9"/>
    <n v="0"/>
    <n v="16"/>
    <n v="1"/>
    <n v="3"/>
    <n v="0"/>
    <s v="Off-Peak"/>
    <n v="0"/>
    <n v="0.96"/>
    <n v="0"/>
    <n v="1.5454545454545401"/>
    <n v="2.72"/>
    <n v="4"/>
    <n v="3.4760869565217298"/>
  </r>
  <r>
    <x v="7"/>
    <d v="2025-01-14T00:00:00"/>
    <s v="Tuesday"/>
    <d v="1899-12-30T08:30:00"/>
    <s v="S16"/>
    <n v="67"/>
    <n v="59"/>
    <n v="11.6"/>
    <n v="21"/>
    <s v="West"/>
    <n v="1"/>
    <s v="No Event"/>
    <n v="23"/>
    <n v="22"/>
    <n v="0.8"/>
    <n v="0"/>
    <n v="8"/>
    <n v="1"/>
    <n v="1"/>
    <n v="0"/>
    <s v="Morning Peak"/>
    <n v="0"/>
    <n v="0.95652173913043403"/>
    <n v="0"/>
    <n v="3.1904761904761898"/>
    <n v="5.7758620689655098"/>
    <n v="8"/>
    <n v="2.80217391304347"/>
  </r>
  <r>
    <x v="1"/>
    <d v="2025-02-24T00:00:00"/>
    <s v="Monday"/>
    <d v="1899-12-30T06:15:00"/>
    <s v="S09"/>
    <n v="48"/>
    <n v="47"/>
    <n v="9.5"/>
    <n v="17"/>
    <s v="North"/>
    <n v="0"/>
    <s v="No Event"/>
    <n v="23"/>
    <n v="22"/>
    <n v="1.1000000000000001"/>
    <n v="0"/>
    <n v="6"/>
    <n v="2"/>
    <n v="0"/>
    <n v="0"/>
    <s v="Off-Peak"/>
    <n v="0"/>
    <n v="0.95652173913043403"/>
    <n v="0"/>
    <n v="2.8235294117646998"/>
    <n v="5.0526315789473601"/>
    <n v="1"/>
    <n v="3.8470588235294101"/>
  </r>
  <r>
    <x v="5"/>
    <d v="2025-02-03T00:00:00"/>
    <s v="Monday"/>
    <d v="1899-12-30T11:30:00"/>
    <s v="S19"/>
    <n v="45"/>
    <n v="41"/>
    <n v="12.5"/>
    <n v="22"/>
    <s v="Central"/>
    <n v="0"/>
    <s v="No Event"/>
    <n v="30"/>
    <n v="30"/>
    <n v="0.3"/>
    <n v="0"/>
    <n v="11"/>
    <n v="2"/>
    <n v="0"/>
    <n v="0"/>
    <s v="Off-Peak"/>
    <n v="0"/>
    <n v="1"/>
    <n v="0"/>
    <n v="2.0454545454545401"/>
    <n v="3.6"/>
    <n v="4"/>
    <n v="3.4760869565217298"/>
  </r>
  <r>
    <x v="8"/>
    <d v="2025-01-23T00:00:00"/>
    <s v="Thursday"/>
    <d v="1899-12-30T20:30:00"/>
    <s v="S08"/>
    <n v="35"/>
    <n v="31"/>
    <n v="7.3"/>
    <n v="13"/>
    <s v="South"/>
    <n v="0"/>
    <s v="No Event"/>
    <n v="20"/>
    <n v="19"/>
    <n v="3.1"/>
    <n v="0"/>
    <n v="20"/>
    <n v="1"/>
    <n v="3"/>
    <n v="0"/>
    <s v="Off-Peak"/>
    <n v="0"/>
    <n v="0.95"/>
    <n v="0"/>
    <n v="2.6923076923076898"/>
    <n v="4.7945205479451998"/>
    <n v="4"/>
    <n v="4.0518518518518496"/>
  </r>
  <r>
    <x v="5"/>
    <d v="2025-01-11T00:00:00"/>
    <s v="Saturday"/>
    <d v="1899-12-30T18:00:00"/>
    <s v="S23"/>
    <n v="95"/>
    <n v="83"/>
    <n v="12.5"/>
    <n v="22"/>
    <s v="Central"/>
    <n v="0"/>
    <s v="Cricket Match"/>
    <n v="39"/>
    <n v="37"/>
    <n v="1.4"/>
    <n v="0"/>
    <n v="18"/>
    <n v="1"/>
    <n v="5"/>
    <n v="1"/>
    <s v="Evening Peak"/>
    <n v="1"/>
    <n v="0.94871794871794801"/>
    <n v="0"/>
    <n v="4.3181818181818103"/>
    <n v="7.6"/>
    <n v="12"/>
    <n v="3.4760869565217298"/>
  </r>
  <r>
    <x v="1"/>
    <d v="2025-02-12T00:00:00"/>
    <s v="Wednesday"/>
    <d v="1899-12-30T11:30:00"/>
    <s v="S01"/>
    <n v="48"/>
    <n v="45"/>
    <n v="9.5"/>
    <n v="17"/>
    <s v="North"/>
    <n v="0"/>
    <s v="No Event"/>
    <n v="37"/>
    <n v="36"/>
    <n v="3.1"/>
    <n v="0"/>
    <n v="11"/>
    <n v="2"/>
    <n v="2"/>
    <n v="0"/>
    <s v="Off-Peak"/>
    <n v="0"/>
    <n v="0.97297297297297303"/>
    <n v="0"/>
    <n v="2.8235294117646998"/>
    <n v="5.0526315789473601"/>
    <n v="3"/>
    <n v="3.8470588235294101"/>
  </r>
  <r>
    <x v="9"/>
    <d v="2025-02-04T00:00:00"/>
    <s v="Tuesday"/>
    <d v="1899-12-30T16:30:00"/>
    <s v="S19"/>
    <n v="48"/>
    <n v="43"/>
    <n v="15"/>
    <n v="28"/>
    <s v="North"/>
    <n v="0"/>
    <s v="No Event"/>
    <n v="39"/>
    <n v="37"/>
    <n v="3.4"/>
    <n v="0"/>
    <n v="16"/>
    <n v="2"/>
    <n v="1"/>
    <n v="0"/>
    <s v="Off-Peak"/>
    <n v="0"/>
    <n v="0.94871794871794801"/>
    <n v="0"/>
    <n v="1.71428571428571"/>
    <n v="3.2"/>
    <n v="5"/>
    <n v="9.4749999999999996"/>
  </r>
  <r>
    <x v="2"/>
    <d v="2025-01-08T00:00:00"/>
    <s v="Wednesday"/>
    <d v="1899-12-30T10:00:00"/>
    <s v="S20"/>
    <n v="87"/>
    <n v="87"/>
    <n v="18.399999999999999"/>
    <n v="32"/>
    <s v="East"/>
    <n v="0"/>
    <s v="No Event"/>
    <n v="25"/>
    <n v="24"/>
    <n v="8.8000000000000007"/>
    <n v="1"/>
    <n v="10"/>
    <n v="1"/>
    <n v="2"/>
    <n v="0"/>
    <s v="Off-Peak"/>
    <n v="0"/>
    <n v="0.96"/>
    <n v="1"/>
    <n v="2.71875"/>
    <n v="4.7282608695652097"/>
    <n v="0"/>
    <n v="8.6013888888888896"/>
  </r>
  <r>
    <x v="2"/>
    <d v="2025-01-10T00:00:00"/>
    <s v="Friday"/>
    <d v="1899-12-30T10:45:00"/>
    <s v="S20"/>
    <n v="76"/>
    <n v="75"/>
    <n v="18.399999999999999"/>
    <n v="32"/>
    <s v="East"/>
    <n v="0"/>
    <s v="No Event"/>
    <n v="28"/>
    <n v="23"/>
    <n v="8.8000000000000007"/>
    <n v="1"/>
    <n v="10"/>
    <n v="1"/>
    <n v="4"/>
    <n v="0"/>
    <s v="Off-Peak"/>
    <n v="0"/>
    <n v="0.82142857142857095"/>
    <n v="1"/>
    <n v="2.375"/>
    <n v="4.13043478260869"/>
    <n v="1"/>
    <n v="8.6013888888888896"/>
  </r>
  <r>
    <x v="4"/>
    <d v="2025-02-10T00:00:00"/>
    <s v="Monday"/>
    <d v="1899-12-30T11:45:00"/>
    <s v="S01"/>
    <n v="42"/>
    <n v="40"/>
    <n v="14.2"/>
    <n v="25"/>
    <s v="East"/>
    <n v="0"/>
    <s v="No Event"/>
    <n v="23"/>
    <n v="21"/>
    <n v="6.2"/>
    <n v="0"/>
    <n v="11"/>
    <n v="2"/>
    <n v="0"/>
    <n v="0"/>
    <s v="Off-Peak"/>
    <n v="0"/>
    <n v="0.91304347826086896"/>
    <n v="1"/>
    <n v="1.68"/>
    <n v="2.9577464788732302"/>
    <n v="2"/>
    <n v="8.3255319148936096"/>
  </r>
  <r>
    <x v="9"/>
    <d v="2025-02-19T00:00:00"/>
    <s v="Wednesday"/>
    <d v="1899-12-30T19:45:00"/>
    <s v="S19"/>
    <n v="100"/>
    <n v="88"/>
    <n v="15"/>
    <n v="28"/>
    <s v="North"/>
    <n v="0"/>
    <s v="No Event"/>
    <n v="25"/>
    <n v="21"/>
    <n v="9.1"/>
    <n v="1"/>
    <n v="19"/>
    <n v="2"/>
    <n v="2"/>
    <n v="0"/>
    <s v="Evening Peak"/>
    <n v="0"/>
    <n v="0.84"/>
    <n v="1"/>
    <n v="3.5714285714285698"/>
    <n v="6.6666666666666599"/>
    <n v="12"/>
    <n v="9.4749999999999996"/>
  </r>
  <r>
    <x v="5"/>
    <d v="2025-02-23T00:00:00"/>
    <s v="Sunday"/>
    <d v="1899-12-30T16:45:00"/>
    <s v="S23"/>
    <n v="26"/>
    <n v="23"/>
    <n v="12.5"/>
    <n v="22"/>
    <s v="Central"/>
    <n v="0"/>
    <s v="No Event"/>
    <n v="18"/>
    <n v="18"/>
    <n v="2.7"/>
    <n v="1"/>
    <n v="16"/>
    <n v="2"/>
    <n v="6"/>
    <n v="1"/>
    <s v="Off-Peak"/>
    <n v="0"/>
    <n v="1"/>
    <n v="0"/>
    <n v="1.1818181818181801"/>
    <n v="2.08"/>
    <n v="3"/>
    <n v="3.4760869565217298"/>
  </r>
  <r>
    <x v="3"/>
    <d v="2025-01-05T00:00:00"/>
    <s v="Sunday"/>
    <d v="1899-12-30T11:00:00"/>
    <s v="S19"/>
    <n v="23"/>
    <n v="21"/>
    <n v="8.1999999999999993"/>
    <n v="15"/>
    <s v="Central"/>
    <n v="0"/>
    <s v="No Event"/>
    <n v="25"/>
    <n v="25"/>
    <n v="0.5"/>
    <n v="0"/>
    <n v="11"/>
    <n v="1"/>
    <n v="6"/>
    <n v="1"/>
    <s v="Off-Peak"/>
    <n v="0"/>
    <n v="1"/>
    <n v="0"/>
    <n v="1.5333333333333301"/>
    <n v="2.8048780487804801"/>
    <n v="2"/>
    <n v="3.6937500000000001"/>
  </r>
  <r>
    <x v="8"/>
    <d v="2025-03-01T00:00:00"/>
    <s v="Saturday"/>
    <d v="1899-12-30T18:00:00"/>
    <s v="S12"/>
    <n v="42"/>
    <n v="38"/>
    <n v="7.3"/>
    <n v="13"/>
    <s v="South"/>
    <n v="0"/>
    <s v="No Event"/>
    <n v="26"/>
    <n v="24"/>
    <n v="1.8"/>
    <n v="0"/>
    <n v="18"/>
    <n v="3"/>
    <n v="5"/>
    <n v="1"/>
    <s v="Evening Peak"/>
    <n v="0"/>
    <n v="0.92307692307692302"/>
    <n v="0"/>
    <n v="3.2307692307692299"/>
    <n v="5.7534246575342403"/>
    <n v="4"/>
    <n v="4.0518518518518496"/>
  </r>
  <r>
    <x v="1"/>
    <d v="2025-01-21T00:00:00"/>
    <s v="Tuesday"/>
    <d v="1899-12-30T15:00:00"/>
    <s v="S25"/>
    <n v="50"/>
    <n v="49"/>
    <n v="9.5"/>
    <n v="17"/>
    <s v="North"/>
    <n v="0"/>
    <s v="No Event"/>
    <n v="24"/>
    <n v="23"/>
    <n v="2.5"/>
    <n v="0"/>
    <n v="15"/>
    <n v="1"/>
    <n v="1"/>
    <n v="0"/>
    <s v="Off-Peak"/>
    <n v="0"/>
    <n v="0.95833333333333304"/>
    <n v="0"/>
    <n v="2.9411764705882302"/>
    <n v="5.2631578947368398"/>
    <n v="1"/>
    <n v="3.8470588235294101"/>
  </r>
  <r>
    <x v="2"/>
    <d v="2025-01-02T00:00:00"/>
    <s v="Thursday"/>
    <d v="1899-12-30T07:45:00"/>
    <s v="S07"/>
    <n v="91"/>
    <n v="83"/>
    <n v="18.399999999999999"/>
    <n v="32"/>
    <s v="East"/>
    <n v="0"/>
    <s v="No Event"/>
    <n v="38"/>
    <n v="34"/>
    <n v="1.8"/>
    <n v="0"/>
    <n v="7"/>
    <n v="1"/>
    <n v="3"/>
    <n v="0"/>
    <s v="Morning Peak"/>
    <n v="0"/>
    <n v="0.89473684210526305"/>
    <n v="0"/>
    <n v="2.84375"/>
    <n v="4.9456521739130404"/>
    <n v="8"/>
    <n v="8.6013888888888896"/>
  </r>
  <r>
    <x v="7"/>
    <d v="2025-01-09T00:00:00"/>
    <s v="Thursday"/>
    <d v="1899-12-30T08:15:00"/>
    <s v="S25"/>
    <n v="104"/>
    <n v="98"/>
    <n v="11.6"/>
    <n v="21"/>
    <s v="West"/>
    <n v="0"/>
    <s v="No Event"/>
    <n v="30"/>
    <n v="30"/>
    <n v="1.5"/>
    <n v="0"/>
    <n v="8"/>
    <n v="1"/>
    <n v="3"/>
    <n v="0"/>
    <s v="Morning Peak"/>
    <n v="0"/>
    <n v="1"/>
    <n v="0"/>
    <n v="4.9523809523809499"/>
    <n v="8.9655172413793096"/>
    <n v="6"/>
    <n v="2.80217391304347"/>
  </r>
  <r>
    <x v="9"/>
    <d v="2025-01-10T00:00:00"/>
    <s v="Friday"/>
    <d v="1899-12-30T17:30:00"/>
    <s v="S22"/>
    <n v="104"/>
    <n v="92"/>
    <n v="15"/>
    <n v="28"/>
    <s v="North"/>
    <n v="0"/>
    <s v="No Event"/>
    <n v="35"/>
    <n v="29"/>
    <n v="15.9"/>
    <n v="0"/>
    <n v="17"/>
    <n v="1"/>
    <n v="4"/>
    <n v="0"/>
    <s v="Evening Peak"/>
    <n v="0"/>
    <n v="0.82857142857142796"/>
    <n v="1"/>
    <n v="3.71428571428571"/>
    <n v="6.93333333333333"/>
    <n v="12"/>
    <n v="9.4749999999999996"/>
  </r>
  <r>
    <x v="9"/>
    <d v="2025-01-03T00:00:00"/>
    <s v="Friday"/>
    <d v="1899-12-30T13:45:00"/>
    <s v="S01"/>
    <n v="49"/>
    <n v="48"/>
    <n v="15"/>
    <n v="28"/>
    <s v="North"/>
    <n v="0"/>
    <s v="No Event"/>
    <n v="29"/>
    <n v="26"/>
    <n v="8.6"/>
    <n v="0"/>
    <n v="13"/>
    <n v="1"/>
    <n v="4"/>
    <n v="0"/>
    <s v="Off-Peak"/>
    <n v="0"/>
    <n v="0.89655172413793105"/>
    <n v="1"/>
    <n v="1.75"/>
    <n v="3.2666666666666599"/>
    <n v="1"/>
    <n v="9.4749999999999996"/>
  </r>
  <r>
    <x v="5"/>
    <d v="2025-01-02T00:00:00"/>
    <s v="Thursday"/>
    <d v="1899-12-30T15:45:00"/>
    <s v="S01"/>
    <n v="50"/>
    <n v="49"/>
    <n v="12.5"/>
    <n v="22"/>
    <s v="Central"/>
    <n v="0"/>
    <s v="No Event"/>
    <n v="33"/>
    <n v="32"/>
    <n v="7.9"/>
    <n v="0"/>
    <n v="15"/>
    <n v="1"/>
    <n v="3"/>
    <n v="0"/>
    <s v="Off-Peak"/>
    <n v="0"/>
    <n v="0.96969696969696895"/>
    <n v="1"/>
    <n v="2.2727272727272698"/>
    <n v="4"/>
    <n v="1"/>
    <n v="3.4760869565217298"/>
  </r>
  <r>
    <x v="4"/>
    <d v="2025-01-02T00:00:00"/>
    <s v="Thursday"/>
    <d v="1899-12-30T18:15:00"/>
    <s v="S06"/>
    <n v="78"/>
    <n v="72"/>
    <n v="14.2"/>
    <n v="25"/>
    <s v="East"/>
    <n v="0"/>
    <s v="No Event"/>
    <n v="29"/>
    <n v="24"/>
    <n v="14.8"/>
    <n v="0"/>
    <n v="18"/>
    <n v="1"/>
    <n v="3"/>
    <n v="0"/>
    <s v="Evening Peak"/>
    <n v="0"/>
    <n v="0.82758620689655105"/>
    <n v="1"/>
    <n v="3.12"/>
    <n v="5.4929577464788704"/>
    <n v="6"/>
    <n v="8.3255319148936096"/>
  </r>
  <r>
    <x v="0"/>
    <d v="2025-01-05T00:00:00"/>
    <s v="Sunday"/>
    <d v="1899-12-30T07:30:00"/>
    <s v="S18"/>
    <n v="49"/>
    <n v="46"/>
    <n v="10.1"/>
    <n v="19"/>
    <s v="West"/>
    <n v="0"/>
    <s v="No Event"/>
    <n v="34"/>
    <n v="34"/>
    <n v="0.8"/>
    <n v="0"/>
    <n v="7"/>
    <n v="1"/>
    <n v="6"/>
    <n v="1"/>
    <s v="Morning Peak"/>
    <n v="0"/>
    <n v="1"/>
    <n v="0"/>
    <n v="2.57894736842105"/>
    <n v="4.8514851485148496"/>
    <n v="3"/>
    <n v="3.6613636363636299"/>
  </r>
  <r>
    <x v="3"/>
    <d v="2025-01-24T00:00:00"/>
    <s v="Friday"/>
    <d v="1899-12-30T17:30:00"/>
    <s v="S20"/>
    <n v="90"/>
    <n v="90"/>
    <n v="8.1999999999999993"/>
    <n v="15"/>
    <s v="Central"/>
    <n v="0"/>
    <s v="No Event"/>
    <n v="20"/>
    <n v="19"/>
    <n v="3.3"/>
    <n v="0"/>
    <n v="17"/>
    <n v="1"/>
    <n v="4"/>
    <n v="0"/>
    <s v="Evening Peak"/>
    <n v="0"/>
    <n v="0.95"/>
    <n v="0"/>
    <n v="6"/>
    <n v="10.9756097560975"/>
    <n v="0"/>
    <n v="3.6937500000000001"/>
  </r>
  <r>
    <x v="4"/>
    <d v="2025-02-20T00:00:00"/>
    <s v="Thursday"/>
    <d v="1899-12-30T17:00:00"/>
    <s v="S10"/>
    <n v="85"/>
    <n v="78"/>
    <n v="14.2"/>
    <n v="25"/>
    <s v="East"/>
    <n v="0"/>
    <s v="No Event"/>
    <n v="20"/>
    <n v="17"/>
    <n v="6.6"/>
    <n v="0"/>
    <n v="17"/>
    <n v="2"/>
    <n v="3"/>
    <n v="0"/>
    <s v="Evening Peak"/>
    <n v="0"/>
    <n v="0.85"/>
    <n v="1"/>
    <n v="3.4"/>
    <n v="5.9859154929577398"/>
    <n v="7"/>
    <n v="8.3255319148936096"/>
  </r>
  <r>
    <x v="2"/>
    <d v="2025-01-11T00:00:00"/>
    <s v="Saturday"/>
    <d v="1899-12-30T17:45:00"/>
    <s v="UNKNOWN"/>
    <n v="109"/>
    <n v="107"/>
    <n v="18.399999999999999"/>
    <n v="32"/>
    <s v="East"/>
    <n v="0"/>
    <s v="Cricket Match"/>
    <n v="36"/>
    <n v="30"/>
    <n v="19.600000000000001"/>
    <n v="0"/>
    <n v="17"/>
    <n v="1"/>
    <n v="5"/>
    <n v="1"/>
    <s v="Evening Peak"/>
    <n v="1"/>
    <n v="0.83333333333333304"/>
    <n v="1"/>
    <n v="3.40625"/>
    <n v="5.9239130434782599"/>
    <n v="2"/>
    <n v="8.6013888888888896"/>
  </r>
  <r>
    <x v="7"/>
    <d v="2025-02-15T00:00:00"/>
    <s v="Saturday"/>
    <d v="1899-12-30T05:45:00"/>
    <s v="S25"/>
    <n v="48"/>
    <n v="41"/>
    <n v="11.6"/>
    <n v="21"/>
    <s v="West"/>
    <n v="0"/>
    <s v="Concert"/>
    <n v="20"/>
    <n v="19"/>
    <n v="3.9"/>
    <n v="0"/>
    <n v="5"/>
    <n v="2"/>
    <n v="5"/>
    <n v="1"/>
    <s v="Off-Peak"/>
    <n v="1"/>
    <n v="0.95"/>
    <n v="0"/>
    <n v="2.2857142857142798"/>
    <n v="4.13793103448275"/>
    <n v="7"/>
    <n v="2.80217391304347"/>
  </r>
  <r>
    <x v="5"/>
    <d v="2025-01-02T00:00:00"/>
    <s v="Thursday"/>
    <d v="1899-12-30T18:00:00"/>
    <s v="S23"/>
    <n v="79"/>
    <n v="76"/>
    <n v="12.5"/>
    <n v="22"/>
    <s v="Central"/>
    <n v="0"/>
    <s v="No Event"/>
    <n v="33"/>
    <n v="32"/>
    <n v="7.9"/>
    <n v="0"/>
    <n v="18"/>
    <n v="1"/>
    <n v="3"/>
    <n v="0"/>
    <s v="Evening Peak"/>
    <n v="0"/>
    <n v="0.96969696969696895"/>
    <n v="1"/>
    <n v="3.5909090909090899"/>
    <n v="6.32"/>
    <n v="3"/>
    <n v="3.4760869565217298"/>
  </r>
  <r>
    <x v="9"/>
    <d v="2025-02-09T00:00:00"/>
    <s v="Sunday"/>
    <d v="1899-12-30T08:45:00"/>
    <s v="S24"/>
    <n v="59"/>
    <n v="57"/>
    <n v="15"/>
    <n v="28"/>
    <s v="North"/>
    <n v="0"/>
    <s v="No Event"/>
    <n v="21"/>
    <n v="20"/>
    <n v="9.1"/>
    <n v="1"/>
    <n v="8"/>
    <n v="2"/>
    <n v="6"/>
    <n v="1"/>
    <s v="Morning Peak"/>
    <n v="0"/>
    <n v="0.952380952380952"/>
    <n v="1"/>
    <n v="2.1071428571428501"/>
    <n v="3.93333333333333"/>
    <n v="2"/>
    <n v="9.4749999999999996"/>
  </r>
  <r>
    <x v="6"/>
    <d v="2025-02-03T00:00:00"/>
    <s v="Monday"/>
    <d v="1899-12-30T07:30:00"/>
    <s v="S03"/>
    <n v="73"/>
    <n v="65"/>
    <n v="6.8"/>
    <n v="12"/>
    <s v="South"/>
    <n v="0"/>
    <s v="No Event"/>
    <n v="37"/>
    <n v="36"/>
    <n v="0.8"/>
    <n v="0"/>
    <n v="7"/>
    <n v="2"/>
    <n v="0"/>
    <n v="0"/>
    <s v="Morning Peak"/>
    <n v="0"/>
    <n v="0.97297297297297303"/>
    <n v="0"/>
    <n v="6.0833333333333304"/>
    <n v="10.735294117646999"/>
    <n v="8"/>
    <n v="2.7611111111111102"/>
  </r>
  <r>
    <x v="5"/>
    <d v="2025-01-27T00:00:00"/>
    <s v="Monday"/>
    <d v="1899-12-30T16:15:00"/>
    <s v="S04"/>
    <n v="43"/>
    <n v="40"/>
    <n v="12.5"/>
    <n v="22"/>
    <s v="Central"/>
    <n v="0"/>
    <s v="No Event"/>
    <n v="24"/>
    <n v="23"/>
    <n v="0.5"/>
    <n v="0"/>
    <n v="16"/>
    <n v="1"/>
    <n v="0"/>
    <n v="0"/>
    <s v="Off-Peak"/>
    <n v="0"/>
    <n v="0.95833333333333304"/>
    <n v="0"/>
    <n v="1.9545454545454499"/>
    <n v="3.44"/>
    <n v="3"/>
    <n v="3.4760869565217298"/>
  </r>
  <r>
    <x v="5"/>
    <d v="2025-01-30T00:00:00"/>
    <s v="Thursday"/>
    <d v="1899-12-30T18:15:00"/>
    <s v="S10"/>
    <n v="70"/>
    <n v="60"/>
    <n v="12.5"/>
    <n v="22"/>
    <s v="Central"/>
    <n v="0"/>
    <s v="No Event"/>
    <n v="25"/>
    <n v="24"/>
    <n v="1.9"/>
    <n v="0"/>
    <n v="18"/>
    <n v="1"/>
    <n v="3"/>
    <n v="0"/>
    <s v="Evening Peak"/>
    <n v="0"/>
    <n v="0.96"/>
    <n v="0"/>
    <n v="3.1818181818181799"/>
    <n v="5.6"/>
    <n v="10"/>
    <n v="3.4760869565217298"/>
  </r>
  <r>
    <x v="4"/>
    <d v="2025-01-27T00:00:00"/>
    <s v="Monday"/>
    <d v="1899-12-30T20:15:00"/>
    <s v="S14"/>
    <n v="61"/>
    <n v="55"/>
    <n v="14.2"/>
    <n v="25"/>
    <s v="East"/>
    <n v="0"/>
    <s v="No Event"/>
    <n v="27"/>
    <n v="24"/>
    <n v="12.8"/>
    <n v="0"/>
    <n v="20"/>
    <n v="1"/>
    <n v="0"/>
    <n v="0"/>
    <s v="Off-Peak"/>
    <n v="0"/>
    <n v="0.88888888888888795"/>
    <n v="1"/>
    <n v="2.44"/>
    <n v="4.2957746478873204"/>
    <n v="6"/>
    <n v="8.3255319148936096"/>
  </r>
  <r>
    <x v="2"/>
    <d v="2025-01-14T00:00:00"/>
    <s v="Tuesday"/>
    <d v="1899-12-30T07:15:00"/>
    <s v="S14"/>
    <n v="122.625"/>
    <n v="124"/>
    <n v="18.399999999999999"/>
    <n v="32"/>
    <s v="East"/>
    <n v="1"/>
    <s v="No Event"/>
    <n v="18"/>
    <n v="17"/>
    <n v="5.9"/>
    <n v="0"/>
    <n v="7"/>
    <n v="1"/>
    <n v="1"/>
    <n v="0"/>
    <s v="Morning Peak"/>
    <n v="0"/>
    <n v="0.94444444444444398"/>
    <n v="1"/>
    <n v="3.83203125"/>
    <n v="6.6644021739130404"/>
    <n v="-1.375"/>
    <n v="8.6013888888888896"/>
  </r>
  <r>
    <x v="9"/>
    <d v="2025-01-01T00:00:00"/>
    <s v="Wednesday"/>
    <d v="1899-12-30T13:45:00"/>
    <s v="S06"/>
    <n v="61"/>
    <n v="52"/>
    <n v="15"/>
    <n v="28"/>
    <s v="North"/>
    <n v="1"/>
    <s v="No Event"/>
    <n v="25"/>
    <n v="23"/>
    <n v="14.9"/>
    <n v="0"/>
    <n v="13"/>
    <n v="1"/>
    <n v="2"/>
    <n v="0"/>
    <s v="Off-Peak"/>
    <n v="0"/>
    <n v="0.92"/>
    <n v="1"/>
    <n v="2.1785714285714199"/>
    <n v="4.0666666666666602"/>
    <n v="9"/>
    <n v="9.4749999999999996"/>
  </r>
  <r>
    <x v="4"/>
    <d v="2025-02-20T00:00:00"/>
    <s v="Thursday"/>
    <d v="1899-12-30T07:15:00"/>
    <s v="S07"/>
    <n v="83"/>
    <n v="73"/>
    <n v="14.2"/>
    <n v="25"/>
    <s v="East"/>
    <n v="0"/>
    <s v="No Event"/>
    <n v="20"/>
    <n v="17"/>
    <n v="6.6"/>
    <n v="0"/>
    <n v="7"/>
    <n v="2"/>
    <n v="3"/>
    <n v="0"/>
    <s v="Morning Peak"/>
    <n v="0"/>
    <n v="0.85"/>
    <n v="1"/>
    <n v="3.32"/>
    <n v="5.8450704225352101"/>
    <n v="10"/>
    <n v="8.3255319148936096"/>
  </r>
  <r>
    <x v="9"/>
    <d v="2025-01-12T00:00:00"/>
    <s v="Sunday"/>
    <d v="1899-12-30T20:15:00"/>
    <s v="S18"/>
    <n v="37"/>
    <n v="32"/>
    <n v="15"/>
    <n v="28"/>
    <s v="North"/>
    <n v="0"/>
    <s v="No Event"/>
    <n v="20"/>
    <n v="17"/>
    <n v="13.4"/>
    <n v="0"/>
    <n v="20"/>
    <n v="1"/>
    <n v="6"/>
    <n v="1"/>
    <s v="Off-Peak"/>
    <n v="0"/>
    <n v="0.85"/>
    <n v="1"/>
    <n v="1.3214285714285701"/>
    <n v="2.4666666666666601"/>
    <n v="5"/>
    <n v="9.4749999999999996"/>
  </r>
  <r>
    <x v="9"/>
    <d v="2025-02-24T00:00:00"/>
    <s v="Monday"/>
    <d v="1899-12-30T18:30:00"/>
    <s v="UNKNOWN"/>
    <n v="89"/>
    <n v="81"/>
    <n v="15"/>
    <n v="28"/>
    <s v="North"/>
    <n v="0"/>
    <s v="No Event"/>
    <n v="34"/>
    <n v="28"/>
    <n v="12.8"/>
    <n v="0"/>
    <n v="18"/>
    <n v="2"/>
    <n v="0"/>
    <n v="0"/>
    <s v="Evening Peak"/>
    <n v="0"/>
    <n v="0.82352941176470495"/>
    <n v="1"/>
    <n v="3.1785714285714199"/>
    <n v="5.93333333333333"/>
    <n v="8"/>
    <n v="9.4749999999999996"/>
  </r>
  <r>
    <x v="3"/>
    <d v="2025-01-31T00:00:00"/>
    <s v="Friday"/>
    <d v="1899-12-30T18:30:00"/>
    <s v="S25"/>
    <n v="58"/>
    <n v="51"/>
    <n v="8.1999999999999993"/>
    <n v="15"/>
    <s v="Central"/>
    <n v="0"/>
    <s v="No Event"/>
    <n v="27"/>
    <n v="27"/>
    <n v="3.5"/>
    <n v="0"/>
    <n v="18"/>
    <n v="1"/>
    <n v="4"/>
    <n v="0"/>
    <s v="Evening Peak"/>
    <n v="0"/>
    <n v="1"/>
    <n v="0"/>
    <n v="3.86666666666666"/>
    <n v="7.07317073170731"/>
    <n v="7"/>
    <n v="3.6937500000000001"/>
  </r>
  <r>
    <x v="3"/>
    <d v="2025-01-13T00:00:00"/>
    <s v="Monday"/>
    <d v="1899-12-30T16:00:00"/>
    <s v="S09"/>
    <n v="42"/>
    <n v="40"/>
    <n v="8.1999999999999993"/>
    <n v="15"/>
    <s v="Central"/>
    <n v="0"/>
    <s v="No Event"/>
    <n v="29"/>
    <n v="27"/>
    <n v="1.2"/>
    <n v="0"/>
    <n v="16"/>
    <n v="1"/>
    <n v="0"/>
    <n v="0"/>
    <s v="Off-Peak"/>
    <n v="0"/>
    <n v="0.93103448275862"/>
    <n v="0"/>
    <n v="2.8"/>
    <n v="5.1219512195121899"/>
    <n v="2"/>
    <n v="3.6937500000000001"/>
  </r>
  <r>
    <x v="9"/>
    <d v="2025-02-26T00:00:00"/>
    <s v="Wednesday"/>
    <d v="1899-12-30T07:00:00"/>
    <s v="S01"/>
    <n v="101"/>
    <n v="100"/>
    <n v="15"/>
    <n v="28"/>
    <s v="North"/>
    <n v="0"/>
    <s v="No Event"/>
    <n v="32"/>
    <n v="27"/>
    <n v="15.1"/>
    <n v="0"/>
    <n v="7"/>
    <n v="2"/>
    <n v="2"/>
    <n v="0"/>
    <s v="Morning Peak"/>
    <n v="0"/>
    <n v="0.84375"/>
    <n v="1"/>
    <n v="3.6071428571428501"/>
    <n v="6.7333333333333298"/>
    <n v="1"/>
    <n v="9.4749999999999996"/>
  </r>
  <r>
    <x v="2"/>
    <d v="2025-01-29T00:00:00"/>
    <s v="Wednesday"/>
    <d v="1899-12-30T09:45:00"/>
    <s v="S16"/>
    <n v="122.625"/>
    <n v="119"/>
    <n v="18.399999999999999"/>
    <n v="32"/>
    <s v="East"/>
    <n v="0"/>
    <s v="No Event"/>
    <n v="37"/>
    <n v="35"/>
    <n v="8.8000000000000007"/>
    <n v="0"/>
    <n v="9"/>
    <n v="1"/>
    <n v="2"/>
    <n v="0"/>
    <s v="Morning Peak"/>
    <n v="0"/>
    <n v="0.94594594594594505"/>
    <n v="1"/>
    <n v="3.83203125"/>
    <n v="6.6644021739130404"/>
    <n v="3.625"/>
    <n v="8.6013888888888896"/>
  </r>
  <r>
    <x v="5"/>
    <d v="2025-01-02T00:00:00"/>
    <s v="Thursday"/>
    <d v="1899-12-30T16:45:00"/>
    <s v="S23"/>
    <n v="41"/>
    <n v="40"/>
    <n v="12.5"/>
    <n v="22"/>
    <s v="Central"/>
    <n v="0"/>
    <s v="No Event"/>
    <n v="33"/>
    <n v="32"/>
    <n v="7.9"/>
    <n v="0"/>
    <n v="16"/>
    <n v="1"/>
    <n v="3"/>
    <n v="0"/>
    <s v="Off-Peak"/>
    <n v="0"/>
    <n v="0.96969696969696895"/>
    <n v="1"/>
    <n v="1.86363636363636"/>
    <n v="3.28"/>
    <n v="1"/>
    <n v="3.4760869565217298"/>
  </r>
  <r>
    <x v="1"/>
    <d v="2025-01-01T00:00:00"/>
    <s v="Wednesday"/>
    <d v="1899-12-30T14:45:00"/>
    <s v="S09"/>
    <n v="56"/>
    <n v="48"/>
    <n v="9.5"/>
    <n v="17"/>
    <s v="North"/>
    <n v="1"/>
    <s v="No Event"/>
    <n v="18"/>
    <n v="17"/>
    <n v="4.5"/>
    <n v="0"/>
    <n v="14"/>
    <n v="1"/>
    <n v="2"/>
    <n v="0"/>
    <s v="Off-Peak"/>
    <n v="0"/>
    <n v="0.94444444444444398"/>
    <n v="0"/>
    <n v="3.2941176470588198"/>
    <n v="5.8947368421052602"/>
    <n v="8"/>
    <n v="3.8470588235294101"/>
  </r>
  <r>
    <x v="9"/>
    <d v="2025-02-20T00:00:00"/>
    <s v="Thursday"/>
    <d v="1899-12-30T16:30:00"/>
    <s v="S01"/>
    <n v="66"/>
    <n v="60"/>
    <n v="15"/>
    <n v="28"/>
    <s v="North"/>
    <n v="0"/>
    <s v="No Event"/>
    <n v="33"/>
    <n v="27"/>
    <n v="16.100000000000001"/>
    <n v="0"/>
    <n v="16"/>
    <n v="2"/>
    <n v="3"/>
    <n v="0"/>
    <s v="Off-Peak"/>
    <n v="0"/>
    <n v="0.81818181818181801"/>
    <n v="1"/>
    <n v="2.3571428571428501"/>
    <n v="4.4000000000000004"/>
    <n v="6"/>
    <n v="9.4749999999999996"/>
  </r>
  <r>
    <x v="1"/>
    <d v="2025-02-23T00:00:00"/>
    <s v="Sunday"/>
    <d v="1899-12-30T15:15:00"/>
    <s v="UNKNOWN"/>
    <n v="29"/>
    <n v="25"/>
    <n v="9.5"/>
    <n v="17"/>
    <s v="North"/>
    <n v="0"/>
    <s v="No Event"/>
    <n v="27"/>
    <n v="26"/>
    <n v="1.8"/>
    <n v="0"/>
    <n v="15"/>
    <n v="2"/>
    <n v="6"/>
    <n v="1"/>
    <s v="Off-Peak"/>
    <n v="0"/>
    <n v="0.96296296296296202"/>
    <n v="0"/>
    <n v="1.70588235294117"/>
    <n v="3.0526315789473601"/>
    <n v="4"/>
    <n v="3.8470588235294101"/>
  </r>
  <r>
    <x v="4"/>
    <d v="2025-01-06T00:00:00"/>
    <s v="Monday"/>
    <d v="1899-12-30T14:45:00"/>
    <s v="S01"/>
    <n v="52"/>
    <n v="50"/>
    <n v="14.2"/>
    <n v="25"/>
    <s v="East"/>
    <n v="0"/>
    <s v="No Event"/>
    <n v="26"/>
    <n v="25"/>
    <n v="5.6"/>
    <n v="0"/>
    <n v="14"/>
    <n v="1"/>
    <n v="0"/>
    <n v="0"/>
    <s v="Off-Peak"/>
    <n v="0"/>
    <n v="0.96153846153846101"/>
    <n v="1"/>
    <n v="2.08"/>
    <n v="3.6619718309859102"/>
    <n v="2"/>
    <n v="8.3255319148936096"/>
  </r>
  <r>
    <x v="9"/>
    <d v="2025-02-02T00:00:00"/>
    <s v="Sunday"/>
    <d v="1899-12-30T06:00:00"/>
    <s v="S18"/>
    <n v="39"/>
    <n v="39"/>
    <n v="15"/>
    <n v="28"/>
    <s v="North"/>
    <n v="0"/>
    <s v="No Event"/>
    <n v="31"/>
    <n v="27"/>
    <n v="14"/>
    <n v="0"/>
    <n v="6"/>
    <n v="2"/>
    <n v="6"/>
    <n v="1"/>
    <s v="Off-Peak"/>
    <n v="0"/>
    <n v="0.87096774193548299"/>
    <n v="1"/>
    <n v="1.3928571428571399"/>
    <n v="2.6"/>
    <n v="0"/>
    <n v="9.4749999999999996"/>
  </r>
  <r>
    <x v="0"/>
    <d v="2025-01-01T00:00:00"/>
    <s v="Wednesday"/>
    <d v="1899-12-30T08:15:00"/>
    <s v="S20"/>
    <n v="85"/>
    <n v="73"/>
    <n v="10.1"/>
    <n v="19"/>
    <s v="West"/>
    <n v="1"/>
    <s v="No Event"/>
    <n v="38"/>
    <n v="38"/>
    <n v="0.9"/>
    <n v="0"/>
    <n v="8"/>
    <n v="1"/>
    <n v="2"/>
    <n v="0"/>
    <s v="Morning Peak"/>
    <n v="0"/>
    <n v="1"/>
    <n v="0"/>
    <n v="4.4736842105263097"/>
    <n v="8.4158415841584109"/>
    <n v="12"/>
    <n v="3.6613636363636299"/>
  </r>
  <r>
    <x v="0"/>
    <d v="2025-01-02T00:00:00"/>
    <s v="Thursday"/>
    <d v="1899-12-30T08:00:00"/>
    <s v="S22"/>
    <n v="78"/>
    <n v="74"/>
    <n v="10.1"/>
    <n v="19"/>
    <s v="West"/>
    <n v="0"/>
    <s v="No Event"/>
    <n v="30"/>
    <n v="30"/>
    <n v="3.3"/>
    <n v="1"/>
    <n v="8"/>
    <n v="1"/>
    <n v="3"/>
    <n v="0"/>
    <s v="Morning Peak"/>
    <n v="0"/>
    <n v="1"/>
    <n v="0"/>
    <n v="4.1052631578947301"/>
    <n v="7.7227722772277199"/>
    <n v="4"/>
    <n v="3.6613636363636299"/>
  </r>
  <r>
    <x v="3"/>
    <d v="2025-01-30T00:00:00"/>
    <s v="Thursday"/>
    <d v="1899-12-30T18:45:00"/>
    <s v="S03"/>
    <n v="65"/>
    <n v="59"/>
    <n v="8.1999999999999993"/>
    <n v="15"/>
    <s v="Central"/>
    <n v="0"/>
    <s v="No Event"/>
    <n v="24"/>
    <n v="24"/>
    <n v="0.9"/>
    <n v="0"/>
    <n v="18"/>
    <n v="1"/>
    <n v="3"/>
    <n v="0"/>
    <s v="Evening Peak"/>
    <n v="0"/>
    <n v="1"/>
    <n v="0"/>
    <n v="4.3333333333333304"/>
    <n v="7.9268292682926802"/>
    <n v="6"/>
    <n v="3.6937500000000001"/>
  </r>
  <r>
    <x v="9"/>
    <d v="2025-01-31T00:00:00"/>
    <s v="Friday"/>
    <d v="1899-12-30T17:30:00"/>
    <s v="S20"/>
    <n v="96"/>
    <n v="95"/>
    <n v="15"/>
    <n v="28"/>
    <s v="North"/>
    <n v="0"/>
    <s v="No Event"/>
    <n v="33"/>
    <n v="28"/>
    <n v="9"/>
    <n v="0"/>
    <n v="17"/>
    <n v="1"/>
    <n v="4"/>
    <n v="0"/>
    <s v="Evening Peak"/>
    <n v="0"/>
    <n v="0.84848484848484795"/>
    <n v="1"/>
    <n v="3.4285714285714199"/>
    <n v="6.4"/>
    <n v="1"/>
    <n v="9.4749999999999996"/>
  </r>
  <r>
    <x v="5"/>
    <d v="2025-01-18T00:00:00"/>
    <s v="Saturday"/>
    <d v="1899-12-30T10:15:00"/>
    <s v="S20"/>
    <n v="48"/>
    <n v="46"/>
    <n v="12.5"/>
    <n v="22"/>
    <s v="Central"/>
    <n v="0"/>
    <s v="Concert"/>
    <n v="28"/>
    <n v="28"/>
    <n v="5.8"/>
    <n v="0"/>
    <n v="10"/>
    <n v="1"/>
    <n v="5"/>
    <n v="1"/>
    <s v="Off-Peak"/>
    <n v="1"/>
    <n v="1"/>
    <n v="1"/>
    <n v="2.1818181818181799"/>
    <n v="3.84"/>
    <n v="2"/>
    <n v="3.4760869565217298"/>
  </r>
  <r>
    <x v="6"/>
    <d v="2025-01-25T00:00:00"/>
    <s v="Saturday"/>
    <d v="1899-12-30T17:00:00"/>
    <s v="S22"/>
    <n v="65"/>
    <n v="58"/>
    <n v="6.8"/>
    <n v="12"/>
    <s v="South"/>
    <n v="0"/>
    <s v="Festival"/>
    <n v="22"/>
    <n v="22"/>
    <n v="1.3"/>
    <n v="0"/>
    <n v="17"/>
    <n v="1"/>
    <n v="5"/>
    <n v="1"/>
    <s v="Evening Peak"/>
    <n v="1"/>
    <n v="1"/>
    <n v="0"/>
    <n v="5.4166666666666599"/>
    <n v="9.5588235294117592"/>
    <n v="7"/>
    <n v="2.7611111111111102"/>
  </r>
  <r>
    <x v="3"/>
    <d v="2025-01-21T00:00:00"/>
    <s v="Tuesday"/>
    <d v="1899-12-30T14:15:00"/>
    <s v="S20"/>
    <n v="41"/>
    <n v="41"/>
    <n v="8.1999999999999993"/>
    <n v="15"/>
    <s v="Central"/>
    <n v="0"/>
    <s v="No Event"/>
    <n v="39"/>
    <n v="38"/>
    <n v="1.3"/>
    <n v="0"/>
    <n v="14"/>
    <n v="1"/>
    <n v="1"/>
    <n v="0"/>
    <s v="Off-Peak"/>
    <n v="0"/>
    <n v="0.97435897435897401"/>
    <n v="0"/>
    <n v="2.7333333333333298"/>
    <n v="5"/>
    <n v="0"/>
    <n v="3.6937500000000001"/>
  </r>
  <r>
    <x v="8"/>
    <d v="2025-01-23T00:00:00"/>
    <s v="Thursday"/>
    <d v="1899-12-30T09:45:00"/>
    <s v="S20"/>
    <n v="66"/>
    <n v="63"/>
    <n v="7.3"/>
    <n v="13"/>
    <s v="South"/>
    <n v="0"/>
    <s v="No Event"/>
    <n v="20"/>
    <n v="19"/>
    <n v="3.1"/>
    <n v="0"/>
    <n v="9"/>
    <n v="1"/>
    <n v="3"/>
    <n v="0"/>
    <s v="Morning Peak"/>
    <n v="0"/>
    <n v="0.95"/>
    <n v="0"/>
    <n v="5.0769230769230704"/>
    <n v="9.0410958904109595"/>
    <n v="3"/>
    <n v="4.0518518518518496"/>
  </r>
  <r>
    <x v="5"/>
    <d v="2025-01-28T00:00:00"/>
    <s v="Tuesday"/>
    <d v="1899-12-30T14:45:00"/>
    <s v="S15"/>
    <n v="52"/>
    <n v="46"/>
    <n v="12.5"/>
    <n v="22"/>
    <s v="Central"/>
    <n v="0"/>
    <s v="No Event"/>
    <n v="29"/>
    <n v="27"/>
    <n v="4.8"/>
    <n v="0"/>
    <n v="14"/>
    <n v="1"/>
    <n v="1"/>
    <n v="0"/>
    <s v="Off-Peak"/>
    <n v="0"/>
    <n v="0.93103448275862"/>
    <n v="0"/>
    <n v="2.3636363636363602"/>
    <n v="4.16"/>
    <n v="6"/>
    <n v="3.4760869565217298"/>
  </r>
  <r>
    <x v="1"/>
    <d v="2025-01-04T00:00:00"/>
    <s v="Saturday"/>
    <d v="1899-12-30T08:30:00"/>
    <s v="S16"/>
    <n v="58"/>
    <n v="57"/>
    <n v="9.5"/>
    <n v="17"/>
    <s v="North"/>
    <n v="0"/>
    <s v="No Event"/>
    <n v="30"/>
    <n v="30"/>
    <n v="3.8"/>
    <n v="0"/>
    <n v="8"/>
    <n v="1"/>
    <n v="5"/>
    <n v="1"/>
    <s v="Morning Peak"/>
    <n v="0"/>
    <n v="1"/>
    <n v="0"/>
    <n v="3.4117647058823501"/>
    <n v="6.1052631578947301"/>
    <n v="1"/>
    <n v="3.8470588235294101"/>
  </r>
  <r>
    <x v="5"/>
    <d v="2025-02-22T00:00:00"/>
    <s v="Saturday"/>
    <d v="1899-12-30T12:30:00"/>
    <s v="S08"/>
    <n v="47"/>
    <n v="40"/>
    <n v="12.5"/>
    <n v="22"/>
    <s v="Central"/>
    <n v="0"/>
    <s v="Festival"/>
    <n v="23"/>
    <n v="23"/>
    <n v="9.4"/>
    <n v="0"/>
    <n v="12"/>
    <n v="2"/>
    <n v="5"/>
    <n v="1"/>
    <s v="Off-Peak"/>
    <n v="1"/>
    <n v="1"/>
    <n v="1"/>
    <n v="2.13636363636363"/>
    <n v="3.76"/>
    <n v="7"/>
    <n v="3.4760869565217298"/>
  </r>
  <r>
    <x v="7"/>
    <d v="2025-01-06T00:00:00"/>
    <s v="Monday"/>
    <d v="1899-12-30T13:00:00"/>
    <s v="S16"/>
    <n v="45"/>
    <n v="44"/>
    <n v="11.6"/>
    <n v="21"/>
    <s v="West"/>
    <n v="0"/>
    <s v="No Event"/>
    <n v="24"/>
    <n v="24"/>
    <n v="4.8"/>
    <n v="0"/>
    <n v="13"/>
    <n v="1"/>
    <n v="0"/>
    <n v="0"/>
    <s v="Off-Peak"/>
    <n v="0"/>
    <n v="1"/>
    <n v="0"/>
    <n v="2.1428571428571401"/>
    <n v="3.8793103448275801"/>
    <n v="1"/>
    <n v="2.80217391304347"/>
  </r>
  <r>
    <x v="8"/>
    <d v="2025-02-26T00:00:00"/>
    <s v="Wednesday"/>
    <d v="1899-12-30T18:45:00"/>
    <s v="S10"/>
    <n v="60"/>
    <n v="57"/>
    <n v="7.3"/>
    <n v="13"/>
    <s v="South"/>
    <n v="0"/>
    <s v="No Event"/>
    <n v="30"/>
    <n v="29"/>
    <n v="4.2"/>
    <n v="0"/>
    <n v="18"/>
    <n v="2"/>
    <n v="2"/>
    <n v="0"/>
    <s v="Evening Peak"/>
    <n v="0"/>
    <n v="0.96666666666666601"/>
    <n v="0"/>
    <n v="4.6153846153846096"/>
    <n v="8.2191780821917799"/>
    <n v="3"/>
    <n v="4.0518518518518496"/>
  </r>
  <r>
    <x v="5"/>
    <d v="2025-01-06T00:00:00"/>
    <s v="Monday"/>
    <d v="1899-12-30T14:45:00"/>
    <s v="S19"/>
    <n v="32"/>
    <n v="30"/>
    <n v="12.5"/>
    <n v="22"/>
    <s v="Central"/>
    <n v="0"/>
    <s v="No Event"/>
    <n v="38"/>
    <n v="35"/>
    <n v="5.9"/>
    <n v="0"/>
    <n v="14"/>
    <n v="1"/>
    <n v="0"/>
    <n v="0"/>
    <s v="Off-Peak"/>
    <n v="0"/>
    <n v="0.92105263157894701"/>
    <n v="1"/>
    <n v="1.4545454545454499"/>
    <n v="2.56"/>
    <n v="2"/>
    <n v="3.4760869565217298"/>
  </r>
  <r>
    <x v="5"/>
    <d v="2025-02-01T00:00:00"/>
    <s v="Saturday"/>
    <d v="1899-12-30T16:45:00"/>
    <s v="S01"/>
    <n v="33"/>
    <n v="29"/>
    <n v="12.5"/>
    <n v="22"/>
    <s v="Central"/>
    <n v="0"/>
    <s v="No Event"/>
    <n v="32"/>
    <n v="30"/>
    <n v="2.2999999999999998"/>
    <n v="0"/>
    <n v="16"/>
    <n v="2"/>
    <n v="5"/>
    <n v="1"/>
    <s v="Off-Peak"/>
    <n v="0"/>
    <n v="0.9375"/>
    <n v="0"/>
    <n v="1.5"/>
    <n v="2.64"/>
    <n v="4"/>
    <n v="3.4760869565217298"/>
  </r>
  <r>
    <x v="5"/>
    <d v="2025-02-26T00:00:00"/>
    <s v="Wednesday"/>
    <d v="1899-12-30T11:15:00"/>
    <s v="S01"/>
    <n v="50"/>
    <n v="45"/>
    <n v="12.5"/>
    <n v="22"/>
    <s v="Central"/>
    <n v="0"/>
    <s v="No Event"/>
    <n v="29"/>
    <n v="27"/>
    <n v="1.7"/>
    <n v="0"/>
    <n v="11"/>
    <n v="2"/>
    <n v="2"/>
    <n v="0"/>
    <s v="Off-Peak"/>
    <n v="0"/>
    <n v="0.93103448275862"/>
    <n v="0"/>
    <n v="2.2727272727272698"/>
    <n v="4"/>
    <n v="5"/>
    <n v="3.4760869565217298"/>
  </r>
  <r>
    <x v="3"/>
    <d v="2025-01-17T00:00:00"/>
    <s v="Friday"/>
    <d v="1899-12-30T14:30:00"/>
    <s v="S18"/>
    <n v="36"/>
    <n v="33"/>
    <n v="8.1999999999999993"/>
    <n v="15"/>
    <s v="Central"/>
    <n v="0"/>
    <s v="No Event"/>
    <n v="18"/>
    <n v="17"/>
    <n v="0.6"/>
    <n v="0"/>
    <n v="14"/>
    <n v="1"/>
    <n v="4"/>
    <n v="0"/>
    <s v="Off-Peak"/>
    <n v="0"/>
    <n v="0.94444444444444398"/>
    <n v="0"/>
    <n v="2.4"/>
    <n v="4.3902439024390203"/>
    <n v="3"/>
    <n v="3.6937500000000001"/>
  </r>
  <r>
    <x v="7"/>
    <d v="2025-02-28T00:00:00"/>
    <s v="Friday"/>
    <d v="1899-12-30T18:00:00"/>
    <s v="S01"/>
    <n v="70"/>
    <n v="63"/>
    <n v="11.6"/>
    <n v="21"/>
    <s v="West"/>
    <n v="0"/>
    <s v="No Event"/>
    <n v="27"/>
    <n v="27"/>
    <n v="1.4"/>
    <n v="0"/>
    <n v="18"/>
    <n v="2"/>
    <n v="4"/>
    <n v="0"/>
    <s v="Evening Peak"/>
    <n v="0"/>
    <n v="1"/>
    <n v="0"/>
    <n v="3.3333333333333299"/>
    <n v="6.0344827586206797"/>
    <n v="7"/>
    <n v="2.80217391304347"/>
  </r>
  <r>
    <x v="7"/>
    <d v="2025-02-11T00:00:00"/>
    <s v="Tuesday"/>
    <d v="1899-12-30T13:45:00"/>
    <s v="S16"/>
    <n v="62"/>
    <n v="55"/>
    <n v="11.6"/>
    <n v="21"/>
    <s v="West"/>
    <n v="0"/>
    <s v="No Event"/>
    <n v="18"/>
    <n v="17"/>
    <n v="2.9"/>
    <n v="0"/>
    <n v="13"/>
    <n v="2"/>
    <n v="1"/>
    <n v="0"/>
    <s v="Off-Peak"/>
    <n v="0"/>
    <n v="0.94444444444444398"/>
    <n v="0"/>
    <n v="2.9523809523809499"/>
    <n v="5.3448275862068897"/>
    <n v="7"/>
    <n v="2.80217391304347"/>
  </r>
  <r>
    <x v="9"/>
    <d v="2025-01-18T00:00:00"/>
    <s v="Saturday"/>
    <d v="1899-12-30T16:15:00"/>
    <s v="UNKNOWN"/>
    <n v="66"/>
    <n v="61"/>
    <n v="15"/>
    <n v="28"/>
    <s v="North"/>
    <n v="0"/>
    <s v="Concert"/>
    <n v="30"/>
    <n v="28"/>
    <n v="9.1"/>
    <n v="0"/>
    <n v="16"/>
    <n v="1"/>
    <n v="5"/>
    <n v="1"/>
    <s v="Off-Peak"/>
    <n v="1"/>
    <n v="0.93333333333333302"/>
    <n v="1"/>
    <n v="2.3571428571428501"/>
    <n v="4.4000000000000004"/>
    <n v="5"/>
    <n v="9.4749999999999996"/>
  </r>
  <r>
    <x v="5"/>
    <d v="2025-01-28T00:00:00"/>
    <s v="Tuesday"/>
    <d v="1899-12-30T15:45:00"/>
    <s v="S20"/>
    <n v="54"/>
    <n v="52"/>
    <n v="12.5"/>
    <n v="22"/>
    <s v="Central"/>
    <n v="0"/>
    <s v="No Event"/>
    <n v="29"/>
    <n v="27"/>
    <n v="4.8"/>
    <n v="0"/>
    <n v="15"/>
    <n v="1"/>
    <n v="1"/>
    <n v="0"/>
    <s v="Off-Peak"/>
    <n v="0"/>
    <n v="0.93103448275862"/>
    <n v="0"/>
    <n v="2.4545454545454501"/>
    <n v="4.32"/>
    <n v="2"/>
    <n v="3.4760869565217298"/>
  </r>
  <r>
    <x v="1"/>
    <d v="2025-02-07T00:00:00"/>
    <s v="Friday"/>
    <d v="1899-12-30T16:00:00"/>
    <s v="S18"/>
    <n v="44"/>
    <n v="42"/>
    <n v="9.5"/>
    <n v="17"/>
    <s v="North"/>
    <n v="0"/>
    <s v="No Event"/>
    <n v="19"/>
    <n v="18"/>
    <n v="2.4"/>
    <n v="0"/>
    <n v="16"/>
    <n v="2"/>
    <n v="4"/>
    <n v="0"/>
    <s v="Off-Peak"/>
    <n v="0"/>
    <n v="0.94736842105263097"/>
    <n v="0"/>
    <n v="2.5882352941176401"/>
    <n v="4.6315789473684204"/>
    <n v="2"/>
    <n v="3.8470588235294101"/>
  </r>
  <r>
    <x v="4"/>
    <d v="2025-01-31T00:00:00"/>
    <s v="Friday"/>
    <d v="1899-12-30T09:00:00"/>
    <s v="S18"/>
    <n v="107"/>
    <n v="101"/>
    <n v="14.2"/>
    <n v="25"/>
    <s v="East"/>
    <n v="0"/>
    <s v="No Event"/>
    <n v="33"/>
    <n v="30"/>
    <n v="4.5"/>
    <n v="0"/>
    <n v="9"/>
    <n v="1"/>
    <n v="4"/>
    <n v="0"/>
    <s v="Morning Peak"/>
    <n v="0"/>
    <n v="0.90909090909090895"/>
    <n v="0"/>
    <n v="4.28"/>
    <n v="7.5352112676056304"/>
    <n v="6"/>
    <n v="8.3255319148936096"/>
  </r>
  <r>
    <x v="9"/>
    <d v="2025-02-01T00:00:00"/>
    <s v="Saturday"/>
    <d v="1899-12-30T09:30:00"/>
    <s v="S16"/>
    <n v="71"/>
    <n v="64"/>
    <n v="15"/>
    <n v="28"/>
    <s v="North"/>
    <n v="0"/>
    <s v="No Event"/>
    <n v="20"/>
    <n v="17"/>
    <n v="10.4"/>
    <n v="0"/>
    <n v="9"/>
    <n v="2"/>
    <n v="5"/>
    <n v="1"/>
    <s v="Morning Peak"/>
    <n v="0"/>
    <n v="0.85"/>
    <n v="1"/>
    <n v="2.5357142857142798"/>
    <n v="4.7333333333333298"/>
    <n v="7"/>
    <n v="9.4749999999999996"/>
  </r>
  <r>
    <x v="5"/>
    <d v="2025-01-14T00:00:00"/>
    <s v="Tuesday"/>
    <d v="1899-12-30T10:15:00"/>
    <s v="S06"/>
    <n v="51"/>
    <n v="43"/>
    <n v="12.5"/>
    <n v="22"/>
    <s v="Central"/>
    <n v="1"/>
    <s v="No Event"/>
    <n v="20"/>
    <n v="19"/>
    <n v="2"/>
    <n v="0"/>
    <n v="10"/>
    <n v="1"/>
    <n v="1"/>
    <n v="0"/>
    <s v="Off-Peak"/>
    <n v="0"/>
    <n v="0.95"/>
    <n v="0"/>
    <n v="2.3181818181818099"/>
    <n v="4.08"/>
    <n v="8"/>
    <n v="3.4760869565217298"/>
  </r>
  <r>
    <x v="3"/>
    <d v="2025-01-14T00:00:00"/>
    <s v="Tuesday"/>
    <d v="1899-12-30T08:45:00"/>
    <s v="S09"/>
    <n v="71"/>
    <n v="64"/>
    <n v="8.1999999999999993"/>
    <n v="15"/>
    <s v="Central"/>
    <n v="1"/>
    <s v="No Event"/>
    <n v="29"/>
    <n v="28"/>
    <n v="1.9"/>
    <n v="0"/>
    <n v="8"/>
    <n v="1"/>
    <n v="1"/>
    <n v="0"/>
    <s v="Morning Peak"/>
    <n v="0"/>
    <n v="0.96551724137931005"/>
    <n v="0"/>
    <n v="4.7333333333333298"/>
    <n v="8.6585365853658498"/>
    <n v="7"/>
    <n v="3.6937500000000001"/>
  </r>
  <r>
    <x v="0"/>
    <d v="2025-02-08T00:00:00"/>
    <s v="Saturday"/>
    <d v="1899-12-30T13:45:00"/>
    <s v="S06"/>
    <n v="56"/>
    <n v="53"/>
    <n v="10.1"/>
    <n v="19"/>
    <s v="West"/>
    <n v="0"/>
    <s v="Cricket Match"/>
    <n v="36"/>
    <n v="35"/>
    <n v="3.2"/>
    <n v="0"/>
    <n v="13"/>
    <n v="2"/>
    <n v="5"/>
    <n v="1"/>
    <s v="Off-Peak"/>
    <n v="1"/>
    <n v="0.97222222222222199"/>
    <n v="0"/>
    <n v="2.9473684210526301"/>
    <n v="5.5445544554455397"/>
    <n v="3"/>
    <n v="3.6613636363636299"/>
  </r>
  <r>
    <x v="9"/>
    <d v="2025-02-22T00:00:00"/>
    <s v="Saturday"/>
    <d v="1899-12-30T19:30:00"/>
    <s v="S18"/>
    <n v="89"/>
    <n v="89"/>
    <n v="15"/>
    <n v="28"/>
    <s v="North"/>
    <n v="0"/>
    <s v="Festival"/>
    <n v="28"/>
    <n v="26"/>
    <n v="9.6"/>
    <n v="0"/>
    <n v="19"/>
    <n v="2"/>
    <n v="5"/>
    <n v="1"/>
    <s v="Evening Peak"/>
    <n v="1"/>
    <n v="0.92857142857142805"/>
    <n v="1"/>
    <n v="3.1785714285714199"/>
    <n v="5.93333333333333"/>
    <n v="0"/>
    <n v="9.4749999999999996"/>
  </r>
  <r>
    <x v="4"/>
    <d v="2025-02-13T00:00:00"/>
    <s v="Thursday"/>
    <d v="1899-12-30T11:30:00"/>
    <s v="S10"/>
    <n v="43"/>
    <n v="42"/>
    <n v="14.2"/>
    <n v="25"/>
    <s v="East"/>
    <n v="0"/>
    <s v="No Event"/>
    <n v="27"/>
    <n v="24"/>
    <n v="6.7"/>
    <n v="0"/>
    <n v="11"/>
    <n v="2"/>
    <n v="3"/>
    <n v="0"/>
    <s v="Off-Peak"/>
    <n v="0"/>
    <n v="0.88888888888888795"/>
    <n v="1"/>
    <n v="1.72"/>
    <n v="3.0281690140844999"/>
    <n v="1"/>
    <n v="8.3255319148936096"/>
  </r>
  <r>
    <x v="2"/>
    <d v="2025-01-03T00:00:00"/>
    <s v="Friday"/>
    <d v="1899-12-30T16:15:00"/>
    <s v="S04"/>
    <n v="47"/>
    <n v="44"/>
    <n v="18.399999999999999"/>
    <n v="32"/>
    <s v="East"/>
    <n v="0"/>
    <s v="No Event"/>
    <n v="34"/>
    <n v="32"/>
    <n v="7.2"/>
    <n v="0"/>
    <n v="16"/>
    <n v="1"/>
    <n v="4"/>
    <n v="0"/>
    <s v="Off-Peak"/>
    <n v="0"/>
    <n v="0.94117647058823495"/>
    <n v="1"/>
    <n v="1.46875"/>
    <n v="2.5543478260869499"/>
    <n v="3"/>
    <n v="8.6013888888888896"/>
  </r>
  <r>
    <x v="6"/>
    <d v="2025-01-21T00:00:00"/>
    <s v="Tuesday"/>
    <d v="1899-12-30T07:45:00"/>
    <s v="S20"/>
    <n v="57"/>
    <n v="50"/>
    <n v="6.8"/>
    <n v="12"/>
    <s v="South"/>
    <n v="0"/>
    <s v="No Event"/>
    <n v="38"/>
    <n v="35"/>
    <n v="3"/>
    <n v="0"/>
    <n v="7"/>
    <n v="1"/>
    <n v="1"/>
    <n v="0"/>
    <s v="Morning Peak"/>
    <n v="0"/>
    <n v="0.92105263157894701"/>
    <n v="0"/>
    <n v="4.75"/>
    <n v="8.3823529411764692"/>
    <n v="7"/>
    <n v="2.7611111111111102"/>
  </r>
  <r>
    <x v="2"/>
    <d v="2025-01-20T00:00:00"/>
    <s v="Monday"/>
    <d v="1899-12-30T16:45:00"/>
    <s v="S16"/>
    <n v="58"/>
    <n v="52"/>
    <n v="18.399999999999999"/>
    <n v="32"/>
    <s v="East"/>
    <n v="0"/>
    <s v="No Event"/>
    <n v="21"/>
    <n v="18"/>
    <n v="8.8000000000000007"/>
    <n v="1"/>
    <n v="16"/>
    <n v="1"/>
    <n v="0"/>
    <n v="0"/>
    <s v="Off-Peak"/>
    <n v="0"/>
    <n v="0.85714285714285698"/>
    <n v="1"/>
    <n v="1.8125"/>
    <n v="3.1521739130434701"/>
    <n v="6"/>
    <n v="8.6013888888888896"/>
  </r>
  <r>
    <x v="5"/>
    <d v="2025-01-10T00:00:00"/>
    <s v="Friday"/>
    <d v="1899-12-30T13:30:00"/>
    <s v="S04"/>
    <n v="47"/>
    <n v="46"/>
    <n v="12.5"/>
    <n v="22"/>
    <s v="Central"/>
    <n v="0"/>
    <s v="No Event"/>
    <n v="22"/>
    <n v="22"/>
    <n v="4.5"/>
    <n v="0"/>
    <n v="13"/>
    <n v="1"/>
    <n v="4"/>
    <n v="0"/>
    <s v="Off-Peak"/>
    <n v="0"/>
    <n v="1"/>
    <n v="0"/>
    <n v="2.13636363636363"/>
    <n v="3.76"/>
    <n v="1"/>
    <n v="3.4760869565217298"/>
  </r>
  <r>
    <x v="9"/>
    <d v="2025-01-17T00:00:00"/>
    <s v="Friday"/>
    <d v="1899-12-30T17:45:00"/>
    <s v="S25"/>
    <n v="112"/>
    <n v="103"/>
    <n v="15"/>
    <n v="28"/>
    <s v="North"/>
    <n v="0"/>
    <s v="No Event"/>
    <n v="26"/>
    <n v="23"/>
    <n v="19.899999999999999"/>
    <n v="0"/>
    <n v="17"/>
    <n v="1"/>
    <n v="4"/>
    <n v="0"/>
    <s v="Evening Peak"/>
    <n v="0"/>
    <n v="0.88461538461538403"/>
    <n v="1"/>
    <n v="4"/>
    <n v="7.4666666666666597"/>
    <n v="9"/>
    <n v="9.4749999999999996"/>
  </r>
  <r>
    <x v="2"/>
    <d v="2025-01-24T00:00:00"/>
    <s v="Friday"/>
    <d v="1899-12-30T16:00:00"/>
    <s v="S07"/>
    <n v="60"/>
    <n v="59"/>
    <n v="18.399999999999999"/>
    <n v="32"/>
    <s v="East"/>
    <n v="0"/>
    <s v="No Event"/>
    <n v="18"/>
    <n v="15"/>
    <n v="6.8"/>
    <n v="0"/>
    <n v="16"/>
    <n v="1"/>
    <n v="4"/>
    <n v="0"/>
    <s v="Off-Peak"/>
    <n v="0"/>
    <n v="0.83333333333333304"/>
    <n v="1"/>
    <n v="1.875"/>
    <n v="3.2608695652173898"/>
    <n v="1"/>
    <n v="8.6013888888888896"/>
  </r>
  <r>
    <x v="0"/>
    <d v="2025-02-03T00:00:00"/>
    <s v="Monday"/>
    <d v="1899-12-30T11:45:00"/>
    <s v="S19"/>
    <n v="40"/>
    <n v="37"/>
    <n v="10.1"/>
    <n v="19"/>
    <s v="West"/>
    <n v="0"/>
    <s v="No Event"/>
    <n v="22"/>
    <n v="20"/>
    <n v="2.4"/>
    <n v="0"/>
    <n v="11"/>
    <n v="2"/>
    <n v="0"/>
    <n v="0"/>
    <s v="Off-Peak"/>
    <n v="0"/>
    <n v="0.90909090909090895"/>
    <n v="0"/>
    <n v="2.1052631578947301"/>
    <n v="3.9603960396039599"/>
    <n v="3"/>
    <n v="3.6613636363636299"/>
  </r>
  <r>
    <x v="2"/>
    <d v="2025-02-03T00:00:00"/>
    <s v="Monday"/>
    <d v="1899-12-30T15:00:00"/>
    <s v="S19"/>
    <n v="56"/>
    <n v="52"/>
    <n v="18.399999999999999"/>
    <n v="32"/>
    <s v="East"/>
    <n v="0"/>
    <s v="No Event"/>
    <n v="38"/>
    <n v="35"/>
    <n v="3.8"/>
    <n v="0"/>
    <n v="15"/>
    <n v="2"/>
    <n v="0"/>
    <n v="0"/>
    <s v="Off-Peak"/>
    <n v="0"/>
    <n v="0.92105263157894701"/>
    <n v="0"/>
    <n v="1.75"/>
    <n v="3.0434782608695601"/>
    <n v="4"/>
    <n v="8.6013888888888896"/>
  </r>
  <r>
    <x v="0"/>
    <d v="2025-01-30T00:00:00"/>
    <s v="Thursday"/>
    <d v="1899-12-30T07:30:00"/>
    <s v="S07"/>
    <n v="70"/>
    <n v="64"/>
    <n v="10.1"/>
    <n v="19"/>
    <s v="West"/>
    <n v="0"/>
    <s v="No Event"/>
    <n v="25"/>
    <n v="23"/>
    <n v="6.4"/>
    <n v="0"/>
    <n v="7"/>
    <n v="1"/>
    <n v="3"/>
    <n v="0"/>
    <s v="Morning Peak"/>
    <n v="0"/>
    <n v="0.92"/>
    <n v="1"/>
    <n v="3.6842105263157801"/>
    <n v="6.9306930693069297"/>
    <n v="6"/>
    <n v="3.6613636363636299"/>
  </r>
  <r>
    <x v="2"/>
    <d v="2025-02-18T00:00:00"/>
    <s v="Tuesday"/>
    <d v="1899-12-30T22:15:00"/>
    <s v="S21"/>
    <n v="59"/>
    <n v="52"/>
    <n v="18.399999999999999"/>
    <n v="32"/>
    <s v="East"/>
    <n v="0"/>
    <s v="No Event"/>
    <n v="30"/>
    <n v="27"/>
    <n v="11.2"/>
    <n v="0"/>
    <n v="22"/>
    <n v="2"/>
    <n v="1"/>
    <n v="0"/>
    <s v="Off-Peak"/>
    <n v="0"/>
    <n v="0.9"/>
    <n v="1"/>
    <n v="1.84375"/>
    <n v="3.2065217391304301"/>
    <n v="7"/>
    <n v="8.6013888888888896"/>
  </r>
  <r>
    <x v="5"/>
    <d v="2025-01-20T00:00:00"/>
    <s v="Monday"/>
    <d v="1899-12-30T15:00:00"/>
    <s v="S16"/>
    <n v="53"/>
    <n v="51"/>
    <n v="12.5"/>
    <n v="22"/>
    <s v="Central"/>
    <n v="0"/>
    <s v="No Event"/>
    <n v="35"/>
    <n v="33"/>
    <n v="2.1"/>
    <n v="0"/>
    <n v="15"/>
    <n v="1"/>
    <n v="0"/>
    <n v="0"/>
    <s v="Off-Peak"/>
    <n v="0"/>
    <n v="0.94285714285714195"/>
    <n v="0"/>
    <n v="2.4090909090908998"/>
    <n v="4.24"/>
    <n v="2"/>
    <n v="3.4760869565217298"/>
  </r>
  <r>
    <x v="3"/>
    <d v="2025-01-13T00:00:00"/>
    <s v="Monday"/>
    <d v="1899-12-30T08:15:00"/>
    <s v="S19"/>
    <n v="58"/>
    <n v="57"/>
    <n v="8.1999999999999993"/>
    <n v="15"/>
    <s v="Central"/>
    <n v="0"/>
    <s v="No Event"/>
    <n v="29"/>
    <n v="27"/>
    <n v="1.2"/>
    <n v="0"/>
    <n v="8"/>
    <n v="1"/>
    <n v="0"/>
    <n v="0"/>
    <s v="Morning Peak"/>
    <n v="0"/>
    <n v="0.93103448275862"/>
    <n v="0"/>
    <n v="3.86666666666666"/>
    <n v="7.07317073170731"/>
    <n v="1"/>
    <n v="3.6937500000000001"/>
  </r>
  <r>
    <x v="4"/>
    <d v="2025-01-02T00:00:00"/>
    <s v="Thursday"/>
    <d v="1899-12-30T08:30:00"/>
    <s v="S18"/>
    <n v="117"/>
    <n v="103"/>
    <n v="14.2"/>
    <n v="25"/>
    <s v="East"/>
    <n v="0"/>
    <s v="No Event"/>
    <n v="29"/>
    <n v="24"/>
    <n v="14.8"/>
    <n v="0"/>
    <n v="8"/>
    <n v="1"/>
    <n v="3"/>
    <n v="0"/>
    <s v="Morning Peak"/>
    <n v="0"/>
    <n v="0.82758620689655105"/>
    <n v="1"/>
    <n v="4.68"/>
    <n v="8.23943661971831"/>
    <n v="14"/>
    <n v="8.3255319148936096"/>
  </r>
  <r>
    <x v="0"/>
    <d v="2025-01-26T00:00:00"/>
    <s v="Sunday"/>
    <d v="1899-12-30T13:30:00"/>
    <s v="S22"/>
    <n v="30"/>
    <n v="26"/>
    <n v="10.1"/>
    <n v="19"/>
    <s v="West"/>
    <n v="1"/>
    <s v="No Event"/>
    <n v="24"/>
    <n v="24"/>
    <n v="3.3"/>
    <n v="1"/>
    <n v="13"/>
    <n v="1"/>
    <n v="6"/>
    <n v="1"/>
    <s v="Off-Peak"/>
    <n v="0"/>
    <n v="1"/>
    <n v="0"/>
    <n v="1.57894736842105"/>
    <n v="2.9702970297029698"/>
    <n v="4"/>
    <n v="3.6613636363636299"/>
  </r>
  <r>
    <x v="7"/>
    <d v="2025-01-17T00:00:00"/>
    <s v="Friday"/>
    <d v="1899-12-30T09:00:00"/>
    <s v="S14"/>
    <n v="77"/>
    <n v="75"/>
    <n v="11.6"/>
    <n v="21"/>
    <s v="West"/>
    <n v="0"/>
    <s v="No Event"/>
    <n v="37"/>
    <n v="37"/>
    <n v="3.1"/>
    <n v="0"/>
    <n v="9"/>
    <n v="1"/>
    <n v="4"/>
    <n v="0"/>
    <s v="Morning Peak"/>
    <n v="0"/>
    <n v="1"/>
    <n v="0"/>
    <n v="3.6666666666666599"/>
    <n v="6.63793103448275"/>
    <n v="2"/>
    <n v="2.80217391304347"/>
  </r>
  <r>
    <x v="2"/>
    <d v="2025-02-26T00:00:00"/>
    <s v="Wednesday"/>
    <d v="1899-12-30T17:15:00"/>
    <s v="S23"/>
    <n v="68"/>
    <n v="66"/>
    <n v="18.399999999999999"/>
    <n v="32"/>
    <s v="East"/>
    <n v="0"/>
    <s v="No Event"/>
    <n v="38"/>
    <n v="32"/>
    <n v="14.9"/>
    <n v="0"/>
    <n v="17"/>
    <n v="2"/>
    <n v="2"/>
    <n v="0"/>
    <s v="Evening Peak"/>
    <n v="0"/>
    <n v="0.84210526315789402"/>
    <n v="1"/>
    <n v="2.125"/>
    <n v="3.6956521739130399"/>
    <n v="2"/>
    <n v="8.6013888888888896"/>
  </r>
  <r>
    <x v="9"/>
    <d v="2025-01-24T00:00:00"/>
    <s v="Friday"/>
    <d v="1899-12-30T17:00:00"/>
    <s v="S14"/>
    <n v="80"/>
    <n v="75"/>
    <n v="15"/>
    <n v="28"/>
    <s v="North"/>
    <n v="0"/>
    <s v="No Event"/>
    <n v="37"/>
    <n v="33"/>
    <n v="5.0999999999999996"/>
    <n v="0"/>
    <n v="17"/>
    <n v="1"/>
    <n v="4"/>
    <n v="0"/>
    <s v="Evening Peak"/>
    <n v="0"/>
    <n v="0.891891891891891"/>
    <n v="1"/>
    <n v="2.8571428571428501"/>
    <n v="5.3333333333333304"/>
    <n v="5"/>
    <n v="9.4749999999999996"/>
  </r>
  <r>
    <x v="7"/>
    <d v="2025-02-06T00:00:00"/>
    <s v="Thursday"/>
    <d v="1899-12-30T14:30:00"/>
    <s v="S06"/>
    <n v="35"/>
    <n v="33"/>
    <n v="11.6"/>
    <n v="21"/>
    <s v="West"/>
    <n v="0"/>
    <s v="No Event"/>
    <n v="32"/>
    <n v="31"/>
    <n v="1.7"/>
    <n v="0"/>
    <n v="14"/>
    <n v="2"/>
    <n v="3"/>
    <n v="0"/>
    <s v="Off-Peak"/>
    <n v="0"/>
    <n v="0.96875"/>
    <n v="0"/>
    <n v="1.6666666666666601"/>
    <n v="3.0172413793103399"/>
    <n v="2"/>
    <n v="2.80217391304347"/>
  </r>
  <r>
    <x v="1"/>
    <d v="2025-01-03T00:00:00"/>
    <s v="Friday"/>
    <d v="1899-12-30T18:45:00"/>
    <s v="S15"/>
    <n v="78"/>
    <n v="69"/>
    <n v="9.5"/>
    <n v="17"/>
    <s v="North"/>
    <n v="0"/>
    <s v="No Event"/>
    <n v="34"/>
    <n v="34"/>
    <n v="5.2"/>
    <n v="0"/>
    <n v="18"/>
    <n v="1"/>
    <n v="4"/>
    <n v="0"/>
    <s v="Evening Peak"/>
    <n v="0"/>
    <n v="1"/>
    <n v="1"/>
    <n v="4.5882352941176396"/>
    <n v="8.2105263157894708"/>
    <n v="9"/>
    <n v="3.8470588235294101"/>
  </r>
  <r>
    <x v="5"/>
    <d v="2025-01-01T00:00:00"/>
    <s v="Wednesday"/>
    <d v="1899-12-30T14:15:00"/>
    <s v="S18"/>
    <n v="50"/>
    <n v="44"/>
    <n v="12.5"/>
    <n v="22"/>
    <s v="Central"/>
    <n v="1"/>
    <s v="No Event"/>
    <n v="39"/>
    <n v="38"/>
    <n v="1.6"/>
    <n v="0"/>
    <n v="14"/>
    <n v="1"/>
    <n v="2"/>
    <n v="0"/>
    <s v="Off-Peak"/>
    <n v="0"/>
    <n v="0.97435897435897401"/>
    <n v="0"/>
    <n v="2.2727272727272698"/>
    <n v="4"/>
    <n v="6"/>
    <n v="3.4760869565217298"/>
  </r>
  <r>
    <x v="9"/>
    <d v="2025-02-07T00:00:00"/>
    <s v="Friday"/>
    <d v="1899-12-30T08:15:00"/>
    <s v="S07"/>
    <n v="88"/>
    <n v="80"/>
    <n v="15"/>
    <n v="28"/>
    <s v="North"/>
    <n v="0"/>
    <s v="No Event"/>
    <n v="23"/>
    <n v="19"/>
    <n v="6.8"/>
    <n v="0"/>
    <n v="8"/>
    <n v="2"/>
    <n v="4"/>
    <n v="0"/>
    <s v="Morning Peak"/>
    <n v="0"/>
    <n v="0.82608695652173902"/>
    <n v="1"/>
    <n v="3.1428571428571401"/>
    <n v="5.86666666666666"/>
    <n v="8"/>
    <n v="9.4749999999999996"/>
  </r>
  <r>
    <x v="8"/>
    <d v="2025-02-20T00:00:00"/>
    <s v="Thursday"/>
    <d v="1899-12-30T15:45:00"/>
    <s v="S14"/>
    <n v="38"/>
    <n v="32"/>
    <n v="7.3"/>
    <n v="13"/>
    <s v="South"/>
    <n v="0"/>
    <s v="No Event"/>
    <n v="19"/>
    <n v="19"/>
    <n v="2.1"/>
    <n v="0"/>
    <n v="15"/>
    <n v="2"/>
    <n v="3"/>
    <n v="0"/>
    <s v="Off-Peak"/>
    <n v="0"/>
    <n v="1"/>
    <n v="0"/>
    <n v="2.9230769230769198"/>
    <n v="5.2054794520547896"/>
    <n v="6"/>
    <n v="4.0518518518518496"/>
  </r>
  <r>
    <x v="0"/>
    <d v="2025-01-11T00:00:00"/>
    <s v="Saturday"/>
    <d v="1899-12-30T12:45:00"/>
    <s v="S16"/>
    <n v="47"/>
    <n v="44"/>
    <n v="10.1"/>
    <n v="19"/>
    <s v="West"/>
    <n v="0"/>
    <s v="Cricket Match"/>
    <n v="27"/>
    <n v="26"/>
    <n v="3.4"/>
    <n v="0"/>
    <n v="12"/>
    <n v="1"/>
    <n v="5"/>
    <n v="1"/>
    <s v="Off-Peak"/>
    <n v="1"/>
    <n v="0.96296296296296202"/>
    <n v="0"/>
    <n v="2.4736842105263102"/>
    <n v="4.6534653465346496"/>
    <n v="3"/>
    <n v="3.6613636363636299"/>
  </r>
  <r>
    <x v="7"/>
    <d v="2025-02-18T00:00:00"/>
    <s v="Tuesday"/>
    <d v="1899-12-30T14:15:00"/>
    <s v="S24"/>
    <n v="46"/>
    <n v="43"/>
    <n v="11.6"/>
    <n v="21"/>
    <s v="West"/>
    <n v="0"/>
    <s v="No Event"/>
    <n v="30"/>
    <n v="28"/>
    <n v="5.4"/>
    <n v="0"/>
    <n v="14"/>
    <n v="2"/>
    <n v="1"/>
    <n v="0"/>
    <s v="Off-Peak"/>
    <n v="0"/>
    <n v="0.93333333333333302"/>
    <n v="1"/>
    <n v="2.1904761904761898"/>
    <n v="3.9655172413793101"/>
    <n v="3"/>
    <n v="2.80217391304347"/>
  </r>
  <r>
    <x v="5"/>
    <d v="2025-02-14T00:00:00"/>
    <s v="Friday"/>
    <d v="1899-12-30T08:15:00"/>
    <s v="S16"/>
    <n v="98"/>
    <n v="84"/>
    <n v="12.5"/>
    <n v="22"/>
    <s v="Central"/>
    <n v="0"/>
    <s v="No Event"/>
    <n v="27"/>
    <n v="26"/>
    <n v="4.0999999999999996"/>
    <n v="0"/>
    <n v="8"/>
    <n v="2"/>
    <n v="4"/>
    <n v="0"/>
    <s v="Morning Peak"/>
    <n v="0"/>
    <n v="0.96296296296296202"/>
    <n v="0"/>
    <n v="4.4545454545454497"/>
    <n v="7.84"/>
    <n v="14"/>
    <n v="3.4760869565217298"/>
  </r>
  <r>
    <x v="3"/>
    <d v="2025-02-19T00:00:00"/>
    <s v="Wednesday"/>
    <d v="1899-12-30T13:15:00"/>
    <s v="S25"/>
    <n v="46"/>
    <n v="45"/>
    <n v="8.1999999999999993"/>
    <n v="15"/>
    <s v="Central"/>
    <n v="0"/>
    <s v="No Event"/>
    <n v="32"/>
    <n v="30"/>
    <n v="4.8"/>
    <n v="0"/>
    <n v="13"/>
    <n v="2"/>
    <n v="2"/>
    <n v="0"/>
    <s v="Off-Peak"/>
    <n v="0"/>
    <n v="0.9375"/>
    <n v="0"/>
    <n v="3.0666666666666602"/>
    <n v="5.6097560975609699"/>
    <n v="1"/>
    <n v="3.6937500000000001"/>
  </r>
  <r>
    <x v="2"/>
    <d v="2025-02-09T00:00:00"/>
    <s v="Sunday"/>
    <d v="1899-12-30T06:30:00"/>
    <s v="S06"/>
    <n v="46"/>
    <n v="39"/>
    <n v="18.399999999999999"/>
    <n v="32"/>
    <s v="East"/>
    <n v="0"/>
    <s v="No Event"/>
    <n v="18"/>
    <n v="16"/>
    <n v="7.5"/>
    <n v="0"/>
    <n v="6"/>
    <n v="2"/>
    <n v="6"/>
    <n v="1"/>
    <s v="Off-Peak"/>
    <n v="0"/>
    <n v="0.88888888888888795"/>
    <n v="1"/>
    <n v="1.4375"/>
    <n v="2.5"/>
    <n v="7"/>
    <n v="8.6013888888888896"/>
  </r>
  <r>
    <x v="0"/>
    <d v="2025-02-08T00:00:00"/>
    <s v="Saturday"/>
    <d v="1899-12-30T13:45:00"/>
    <s v="S06"/>
    <n v="52"/>
    <n v="46"/>
    <n v="10.1"/>
    <n v="19"/>
    <s v="West"/>
    <n v="0"/>
    <s v="Cricket Match"/>
    <n v="36"/>
    <n v="35"/>
    <n v="3.2"/>
    <n v="0"/>
    <n v="13"/>
    <n v="2"/>
    <n v="5"/>
    <n v="1"/>
    <s v="Off-Peak"/>
    <n v="1"/>
    <n v="0.97222222222222199"/>
    <n v="0"/>
    <n v="2.73684210526315"/>
    <n v="5.1485148514851398"/>
    <n v="6"/>
    <n v="3.6613636363636299"/>
  </r>
  <r>
    <x v="5"/>
    <d v="2025-02-14T00:00:00"/>
    <s v="Friday"/>
    <d v="1899-12-30T07:30:00"/>
    <s v="S06"/>
    <n v="71"/>
    <n v="65"/>
    <n v="12.5"/>
    <n v="22"/>
    <s v="Central"/>
    <n v="0"/>
    <s v="No Event"/>
    <n v="27"/>
    <n v="26"/>
    <n v="4.0999999999999996"/>
    <n v="0"/>
    <n v="7"/>
    <n v="2"/>
    <n v="4"/>
    <n v="0"/>
    <s v="Morning Peak"/>
    <n v="0"/>
    <n v="0.96296296296296202"/>
    <n v="0"/>
    <n v="3.22727272727272"/>
    <n v="5.68"/>
    <n v="6"/>
    <n v="3.4760869565217298"/>
  </r>
  <r>
    <x v="7"/>
    <d v="2025-02-25T00:00:00"/>
    <s v="Tuesday"/>
    <d v="1899-12-30T15:30:00"/>
    <s v="S20"/>
    <n v="42"/>
    <n v="42"/>
    <n v="11.6"/>
    <n v="21"/>
    <s v="West"/>
    <n v="0"/>
    <s v="No Event"/>
    <n v="37"/>
    <n v="37"/>
    <n v="2.8"/>
    <n v="0"/>
    <n v="15"/>
    <n v="2"/>
    <n v="1"/>
    <n v="0"/>
    <s v="Off-Peak"/>
    <n v="0"/>
    <n v="1"/>
    <n v="0"/>
    <n v="2"/>
    <n v="3.6206896551724101"/>
    <n v="0"/>
    <n v="2.80217391304347"/>
  </r>
  <r>
    <x v="7"/>
    <d v="2025-02-08T00:00:00"/>
    <s v="Saturday"/>
    <d v="1899-12-30T17:45:00"/>
    <s v="S07"/>
    <n v="106"/>
    <n v="104"/>
    <n v="11.6"/>
    <n v="21"/>
    <s v="West"/>
    <n v="0"/>
    <s v="Cricket Match"/>
    <n v="33"/>
    <n v="33"/>
    <n v="7.1"/>
    <n v="0"/>
    <n v="17"/>
    <n v="2"/>
    <n v="5"/>
    <n v="1"/>
    <s v="Evening Peak"/>
    <n v="1"/>
    <n v="1"/>
    <n v="1"/>
    <n v="5.0476190476190403"/>
    <n v="9.1379310344827598"/>
    <n v="2"/>
    <n v="2.80217391304347"/>
  </r>
  <r>
    <x v="1"/>
    <d v="2025-01-29T00:00:00"/>
    <s v="Wednesday"/>
    <d v="1899-12-30T11:15:00"/>
    <s v="S20"/>
    <n v="55"/>
    <n v="53"/>
    <n v="9.5"/>
    <n v="17"/>
    <s v="North"/>
    <n v="0"/>
    <s v="No Event"/>
    <n v="36"/>
    <n v="35"/>
    <n v="5.5"/>
    <n v="0"/>
    <n v="11"/>
    <n v="1"/>
    <n v="2"/>
    <n v="0"/>
    <s v="Off-Peak"/>
    <n v="0"/>
    <n v="0.97222222222222199"/>
    <n v="1"/>
    <n v="3.23529411764705"/>
    <n v="5.7894736842105203"/>
    <n v="2"/>
    <n v="3.8470588235294101"/>
  </r>
  <r>
    <x v="8"/>
    <d v="2025-02-02T00:00:00"/>
    <s v="Sunday"/>
    <d v="1899-12-30T08:30:00"/>
    <s v="S14"/>
    <n v="58"/>
    <n v="50"/>
    <n v="7.3"/>
    <n v="13"/>
    <s v="South"/>
    <n v="0"/>
    <s v="No Event"/>
    <n v="30"/>
    <n v="29"/>
    <n v="2"/>
    <n v="0"/>
    <n v="8"/>
    <n v="2"/>
    <n v="6"/>
    <n v="1"/>
    <s v="Morning Peak"/>
    <n v="0"/>
    <n v="0.96666666666666601"/>
    <n v="0"/>
    <n v="4.4615384615384599"/>
    <n v="7.9452054794520501"/>
    <n v="8"/>
    <n v="4.0518518518518496"/>
  </r>
  <r>
    <x v="0"/>
    <d v="2025-02-02T00:00:00"/>
    <s v="Sunday"/>
    <d v="1899-12-30T17:15:00"/>
    <s v="S01"/>
    <n v="58"/>
    <n v="55"/>
    <n v="10.1"/>
    <n v="19"/>
    <s v="West"/>
    <n v="0"/>
    <s v="No Event"/>
    <n v="23"/>
    <n v="22"/>
    <n v="2"/>
    <n v="0"/>
    <n v="17"/>
    <n v="2"/>
    <n v="6"/>
    <n v="1"/>
    <s v="Evening Peak"/>
    <n v="0"/>
    <n v="0.95652173913043403"/>
    <n v="0"/>
    <n v="3.0526315789473601"/>
    <n v="5.7425742574257397"/>
    <n v="3"/>
    <n v="3.6613636363636299"/>
  </r>
  <r>
    <x v="7"/>
    <d v="2025-02-23T00:00:00"/>
    <s v="Sunday"/>
    <d v="1899-12-30T16:00:00"/>
    <s v="S04"/>
    <n v="31"/>
    <n v="29"/>
    <n v="11.6"/>
    <n v="21"/>
    <s v="West"/>
    <n v="0"/>
    <s v="No Event"/>
    <n v="24"/>
    <n v="24"/>
    <n v="1.1000000000000001"/>
    <n v="0"/>
    <n v="16"/>
    <n v="2"/>
    <n v="6"/>
    <n v="1"/>
    <s v="Off-Peak"/>
    <n v="0"/>
    <n v="1"/>
    <n v="0"/>
    <n v="1.4761904761904701"/>
    <n v="2.67241379310344"/>
    <n v="2"/>
    <n v="2.80217391304347"/>
  </r>
  <r>
    <x v="4"/>
    <d v="2025-03-01T00:00:00"/>
    <s v="Saturday"/>
    <d v="1899-12-30T07:00:00"/>
    <s v="S07"/>
    <n v="61"/>
    <n v="59"/>
    <n v="14.2"/>
    <n v="25"/>
    <s v="East"/>
    <n v="0"/>
    <s v="No Event"/>
    <n v="25"/>
    <n v="20"/>
    <n v="13.4"/>
    <n v="0"/>
    <n v="7"/>
    <n v="3"/>
    <n v="5"/>
    <n v="1"/>
    <s v="Morning Peak"/>
    <n v="0"/>
    <n v="0.8"/>
    <n v="1"/>
    <n v="2.44"/>
    <n v="4.2957746478873204"/>
    <n v="2"/>
    <n v="8.3255319148936096"/>
  </r>
  <r>
    <x v="3"/>
    <d v="2025-01-01T00:00:00"/>
    <s v="Wednesday"/>
    <d v="1899-12-30T17:45:00"/>
    <s v="S20"/>
    <n v="75"/>
    <n v="70"/>
    <n v="8.1999999999999993"/>
    <n v="15"/>
    <s v="Central"/>
    <n v="1"/>
    <s v="No Event"/>
    <n v="30"/>
    <n v="29"/>
    <n v="13.6"/>
    <n v="0"/>
    <n v="17"/>
    <n v="1"/>
    <n v="2"/>
    <n v="0"/>
    <s v="Evening Peak"/>
    <n v="0"/>
    <n v="0.96666666666666601"/>
    <n v="1"/>
    <n v="5"/>
    <n v="9.1463414634146307"/>
    <n v="5"/>
    <n v="3.6937500000000001"/>
  </r>
  <r>
    <x v="9"/>
    <d v="2025-01-11T00:00:00"/>
    <s v="Saturday"/>
    <d v="1899-12-30T07:00:00"/>
    <s v="S07"/>
    <n v="103"/>
    <n v="96"/>
    <n v="15"/>
    <n v="28"/>
    <s v="North"/>
    <n v="0"/>
    <s v="Cricket Match"/>
    <n v="28"/>
    <n v="23"/>
    <n v="5.3"/>
    <n v="0"/>
    <n v="7"/>
    <n v="1"/>
    <n v="5"/>
    <n v="1"/>
    <s v="Morning Peak"/>
    <n v="1"/>
    <n v="0.82142857142857095"/>
    <n v="1"/>
    <n v="3.6785714285714199"/>
    <n v="6.86666666666666"/>
    <n v="7"/>
    <n v="9.4749999999999996"/>
  </r>
  <r>
    <x v="2"/>
    <d v="2025-02-04T00:00:00"/>
    <s v="Tuesday"/>
    <d v="1899-12-30T08:15:00"/>
    <s v="S01"/>
    <n v="122.625"/>
    <n v="127"/>
    <n v="18.399999999999999"/>
    <n v="32"/>
    <s v="East"/>
    <n v="0"/>
    <s v="No Event"/>
    <n v="35"/>
    <n v="29"/>
    <n v="9.5"/>
    <n v="0"/>
    <n v="8"/>
    <n v="2"/>
    <n v="1"/>
    <n v="0"/>
    <s v="Morning Peak"/>
    <n v="0"/>
    <n v="0.82857142857142796"/>
    <n v="1"/>
    <n v="3.83203125"/>
    <n v="6.6644021739130404"/>
    <n v="-4.375"/>
    <n v="8.6013888888888896"/>
  </r>
  <r>
    <x v="0"/>
    <d v="2025-01-26T00:00:00"/>
    <s v="Sunday"/>
    <d v="1899-12-30T16:00:00"/>
    <s v="S04"/>
    <n v="28"/>
    <n v="26"/>
    <n v="10.1"/>
    <n v="19"/>
    <s v="West"/>
    <n v="1"/>
    <s v="No Event"/>
    <n v="24"/>
    <n v="24"/>
    <n v="3.3"/>
    <n v="1"/>
    <n v="16"/>
    <n v="1"/>
    <n v="6"/>
    <n v="1"/>
    <s v="Off-Peak"/>
    <n v="0"/>
    <n v="1"/>
    <n v="0"/>
    <n v="1.4736842105263099"/>
    <n v="2.7722772277227699"/>
    <n v="2"/>
    <n v="3.6613636363636299"/>
  </r>
  <r>
    <x v="5"/>
    <d v="2025-02-18T00:00:00"/>
    <s v="Tuesday"/>
    <d v="1899-12-30T06:15:00"/>
    <s v="S19"/>
    <n v="47"/>
    <n v="46"/>
    <n v="12.5"/>
    <n v="22"/>
    <s v="Central"/>
    <n v="0"/>
    <s v="No Event"/>
    <n v="32"/>
    <n v="30"/>
    <n v="2.7"/>
    <n v="1"/>
    <n v="6"/>
    <n v="2"/>
    <n v="1"/>
    <n v="0"/>
    <s v="Off-Peak"/>
    <n v="0"/>
    <n v="0.9375"/>
    <n v="0"/>
    <n v="2.13636363636363"/>
    <n v="3.76"/>
    <n v="1"/>
    <n v="3.4760869565217298"/>
  </r>
  <r>
    <x v="7"/>
    <d v="2025-02-24T00:00:00"/>
    <s v="Monday"/>
    <d v="1899-12-30T08:00:00"/>
    <s v="S01"/>
    <n v="94"/>
    <n v="89"/>
    <n v="11.6"/>
    <n v="21"/>
    <s v="West"/>
    <n v="0"/>
    <s v="No Event"/>
    <n v="30"/>
    <n v="29"/>
    <n v="4.5"/>
    <n v="0"/>
    <n v="8"/>
    <n v="2"/>
    <n v="0"/>
    <n v="0"/>
    <s v="Morning Peak"/>
    <n v="0"/>
    <n v="0.96666666666666601"/>
    <n v="0"/>
    <n v="4.4761904761904701"/>
    <n v="8.1034482758620694"/>
    <n v="5"/>
    <n v="2.80217391304347"/>
  </r>
  <r>
    <x v="5"/>
    <d v="2025-02-25T00:00:00"/>
    <s v="Tuesday"/>
    <d v="1899-12-30T09:00:00"/>
    <s v="S19"/>
    <n v="95"/>
    <n v="84"/>
    <n v="12.5"/>
    <n v="22"/>
    <s v="Central"/>
    <n v="0"/>
    <s v="No Event"/>
    <n v="28"/>
    <n v="28"/>
    <n v="4.5"/>
    <n v="0"/>
    <n v="9"/>
    <n v="2"/>
    <n v="1"/>
    <n v="0"/>
    <s v="Morning Peak"/>
    <n v="0"/>
    <n v="1"/>
    <n v="0"/>
    <n v="4.3181818181818103"/>
    <n v="7.6"/>
    <n v="11"/>
    <n v="3.4760869565217298"/>
  </r>
  <r>
    <x v="9"/>
    <d v="2025-02-03T00:00:00"/>
    <s v="Monday"/>
    <d v="1899-12-30T22:45:00"/>
    <s v="S20"/>
    <n v="61"/>
    <n v="61"/>
    <n v="15"/>
    <n v="28"/>
    <s v="North"/>
    <n v="0"/>
    <s v="No Event"/>
    <n v="27"/>
    <n v="23"/>
    <n v="9.5"/>
    <n v="0"/>
    <n v="22"/>
    <n v="2"/>
    <n v="0"/>
    <n v="0"/>
    <s v="Off-Peak"/>
    <n v="0"/>
    <n v="0.85185185185185097"/>
    <n v="1"/>
    <n v="2.1785714285714199"/>
    <n v="4.0666666666666602"/>
    <n v="0"/>
    <n v="9.4749999999999996"/>
  </r>
  <r>
    <x v="3"/>
    <d v="2025-01-26T00:00:00"/>
    <s v="Sunday"/>
    <d v="1899-12-30T22:15:00"/>
    <s v="S09"/>
    <n v="23"/>
    <n v="22"/>
    <n v="8.1999999999999993"/>
    <n v="15"/>
    <s v="Central"/>
    <n v="1"/>
    <s v="No Event"/>
    <n v="19"/>
    <n v="19"/>
    <n v="2.5"/>
    <n v="0"/>
    <n v="22"/>
    <n v="1"/>
    <n v="6"/>
    <n v="1"/>
    <s v="Off-Peak"/>
    <n v="0"/>
    <n v="1"/>
    <n v="0"/>
    <n v="1.5333333333333301"/>
    <n v="2.8048780487804801"/>
    <n v="1"/>
    <n v="3.6937500000000001"/>
  </r>
  <r>
    <x v="4"/>
    <d v="2025-01-11T00:00:00"/>
    <s v="Saturday"/>
    <d v="1899-12-30T15:15:00"/>
    <s v="S19"/>
    <n v="70"/>
    <n v="63"/>
    <n v="14.2"/>
    <n v="25"/>
    <s v="East"/>
    <n v="0"/>
    <s v="Cricket Match"/>
    <n v="35"/>
    <n v="31"/>
    <n v="11.4"/>
    <n v="0"/>
    <n v="15"/>
    <n v="1"/>
    <n v="5"/>
    <n v="1"/>
    <s v="Off-Peak"/>
    <n v="1"/>
    <n v="0.88571428571428501"/>
    <n v="1"/>
    <n v="2.8"/>
    <n v="4.9295774647887303"/>
    <n v="7"/>
    <n v="8.3255319148936096"/>
  </r>
  <r>
    <x v="5"/>
    <d v="2025-02-06T00:00:00"/>
    <s v="Thursday"/>
    <d v="1899-12-30T14:45:00"/>
    <s v="S25"/>
    <n v="52"/>
    <n v="50"/>
    <n v="12.5"/>
    <n v="22"/>
    <s v="Central"/>
    <n v="0"/>
    <s v="No Event"/>
    <n v="27"/>
    <n v="27"/>
    <n v="1.2"/>
    <n v="0"/>
    <n v="14"/>
    <n v="2"/>
    <n v="3"/>
    <n v="0"/>
    <s v="Off-Peak"/>
    <n v="0"/>
    <n v="1"/>
    <n v="0"/>
    <n v="2.3636363636363602"/>
    <n v="4.16"/>
    <n v="2"/>
    <n v="3.4760869565217298"/>
  </r>
  <r>
    <x v="4"/>
    <d v="2025-01-03T00:00:00"/>
    <s v="Friday"/>
    <d v="1899-12-30T18:00:00"/>
    <s v="S08"/>
    <n v="83"/>
    <n v="71"/>
    <n v="14.2"/>
    <n v="25"/>
    <s v="East"/>
    <n v="0"/>
    <s v="No Event"/>
    <n v="34"/>
    <n v="31"/>
    <n v="8.3000000000000007"/>
    <n v="0"/>
    <n v="18"/>
    <n v="1"/>
    <n v="4"/>
    <n v="0"/>
    <s v="Evening Peak"/>
    <n v="0"/>
    <n v="0.91176470588235203"/>
    <n v="1"/>
    <n v="3.32"/>
    <n v="5.8450704225352101"/>
    <n v="12"/>
    <n v="8.3255319148936096"/>
  </r>
  <r>
    <x v="0"/>
    <d v="2025-01-04T00:00:00"/>
    <s v="Saturday"/>
    <d v="1899-12-30T21:45:00"/>
    <s v="S23"/>
    <n v="34"/>
    <n v="31"/>
    <n v="10.1"/>
    <n v="19"/>
    <s v="West"/>
    <n v="0"/>
    <s v="No Event"/>
    <n v="26"/>
    <n v="25"/>
    <n v="6"/>
    <n v="0"/>
    <n v="21"/>
    <n v="1"/>
    <n v="5"/>
    <n v="1"/>
    <s v="Off-Peak"/>
    <n v="0"/>
    <n v="0.96153846153846101"/>
    <n v="1"/>
    <n v="1.7894736842105201"/>
    <n v="3.36633663366336"/>
    <n v="3"/>
    <n v="3.6613636363636299"/>
  </r>
  <r>
    <x v="8"/>
    <d v="2025-01-05T00:00:00"/>
    <s v="Sunday"/>
    <d v="1899-12-30T12:45:00"/>
    <s v="S09"/>
    <n v="26"/>
    <n v="24"/>
    <n v="7.3"/>
    <n v="13"/>
    <s v="South"/>
    <n v="0"/>
    <s v="No Event"/>
    <n v="30"/>
    <n v="29"/>
    <n v="6.2"/>
    <n v="0"/>
    <n v="12"/>
    <n v="1"/>
    <n v="6"/>
    <n v="1"/>
    <s v="Off-Peak"/>
    <n v="0"/>
    <n v="0.96666666666666601"/>
    <n v="1"/>
    <n v="2"/>
    <n v="3.5616438356164299"/>
    <n v="2"/>
    <n v="4.0518518518518496"/>
  </r>
  <r>
    <x v="0"/>
    <d v="2025-02-20T00:00:00"/>
    <s v="Thursday"/>
    <d v="1899-12-30T17:00:00"/>
    <s v="S21"/>
    <n v="95"/>
    <n v="86"/>
    <n v="10.1"/>
    <n v="19"/>
    <s v="West"/>
    <n v="0"/>
    <s v="No Event"/>
    <n v="18"/>
    <n v="17"/>
    <n v="3.6"/>
    <n v="0"/>
    <n v="17"/>
    <n v="2"/>
    <n v="3"/>
    <n v="0"/>
    <s v="Evening Peak"/>
    <n v="0"/>
    <n v="0.94444444444444398"/>
    <n v="0"/>
    <n v="5"/>
    <n v="9.4059405940594001"/>
    <n v="9"/>
    <n v="3.6613636363636299"/>
  </r>
  <r>
    <x v="7"/>
    <d v="2025-02-20T00:00:00"/>
    <s v="Thursday"/>
    <d v="1899-12-30T15:30:00"/>
    <s v="S06"/>
    <n v="43"/>
    <n v="37"/>
    <n v="11.6"/>
    <n v="21"/>
    <s v="West"/>
    <n v="0"/>
    <s v="No Event"/>
    <n v="33"/>
    <n v="31"/>
    <n v="3.1"/>
    <n v="0"/>
    <n v="15"/>
    <n v="2"/>
    <n v="3"/>
    <n v="0"/>
    <s v="Off-Peak"/>
    <n v="0"/>
    <n v="0.939393939393939"/>
    <n v="0"/>
    <n v="2.0476190476190399"/>
    <n v="3.7068965517241299"/>
    <n v="6"/>
    <n v="2.80217391304347"/>
  </r>
  <r>
    <x v="8"/>
    <d v="2025-02-20T00:00:00"/>
    <s v="Thursday"/>
    <d v="1899-12-30T07:45:00"/>
    <s v="S07"/>
    <n v="56"/>
    <n v="54"/>
    <n v="7.3"/>
    <n v="13"/>
    <s v="South"/>
    <n v="0"/>
    <s v="No Event"/>
    <n v="19"/>
    <n v="19"/>
    <n v="2.1"/>
    <n v="0"/>
    <n v="7"/>
    <n v="2"/>
    <n v="3"/>
    <n v="0"/>
    <s v="Morning Peak"/>
    <n v="0"/>
    <n v="1"/>
    <n v="0"/>
    <n v="4.3076923076923004"/>
    <n v="7.6712328767123203"/>
    <n v="2"/>
    <n v="4.0518518518518496"/>
  </r>
  <r>
    <x v="5"/>
    <d v="2025-01-29T00:00:00"/>
    <s v="Wednesday"/>
    <d v="1899-12-30T16:30:00"/>
    <s v="S23"/>
    <n v="61"/>
    <n v="57"/>
    <n v="12.5"/>
    <n v="22"/>
    <s v="Central"/>
    <n v="0"/>
    <s v="No Event"/>
    <n v="33"/>
    <n v="31"/>
    <n v="2.7"/>
    <n v="0"/>
    <n v="16"/>
    <n v="1"/>
    <n v="2"/>
    <n v="0"/>
    <s v="Off-Peak"/>
    <n v="0"/>
    <n v="0.939393939393939"/>
    <n v="0"/>
    <n v="2.7727272727272698"/>
    <n v="4.88"/>
    <n v="4"/>
    <n v="3.4760869565217298"/>
  </r>
  <r>
    <x v="1"/>
    <d v="2025-02-16T00:00:00"/>
    <s v="Sunday"/>
    <d v="1899-12-30T21:00:00"/>
    <s v="S18"/>
    <n v="26"/>
    <n v="26"/>
    <n v="9.5"/>
    <n v="17"/>
    <s v="North"/>
    <n v="0"/>
    <s v="No Event"/>
    <n v="18"/>
    <n v="17"/>
    <n v="4.4000000000000004"/>
    <n v="0"/>
    <n v="21"/>
    <n v="2"/>
    <n v="6"/>
    <n v="1"/>
    <s v="Off-Peak"/>
    <n v="0"/>
    <n v="0.94444444444444398"/>
    <n v="0"/>
    <n v="1.52941176470588"/>
    <n v="2.73684210526315"/>
    <n v="0"/>
    <n v="3.8470588235294101"/>
  </r>
  <r>
    <x v="2"/>
    <d v="2025-02-17T00:00:00"/>
    <s v="Monday"/>
    <d v="1899-12-30T13:45:00"/>
    <s v="S25"/>
    <n v="57"/>
    <n v="51"/>
    <n v="18.399999999999999"/>
    <n v="32"/>
    <s v="East"/>
    <n v="0"/>
    <s v="No Event"/>
    <n v="20"/>
    <n v="17"/>
    <n v="9.5"/>
    <n v="0"/>
    <n v="13"/>
    <n v="2"/>
    <n v="0"/>
    <n v="0"/>
    <s v="Off-Peak"/>
    <n v="0"/>
    <n v="0.85"/>
    <n v="1"/>
    <n v="1.78125"/>
    <n v="3.0978260869565202"/>
    <n v="6"/>
    <n v="8.6013888888888896"/>
  </r>
  <r>
    <x v="2"/>
    <d v="2025-01-09T00:00:00"/>
    <s v="Thursday"/>
    <d v="1899-12-30T17:15:00"/>
    <s v="S01"/>
    <n v="122.625"/>
    <n v="118"/>
    <n v="18.399999999999999"/>
    <n v="32"/>
    <s v="East"/>
    <n v="0"/>
    <s v="No Event"/>
    <n v="23"/>
    <n v="22"/>
    <n v="9.1999999999999993"/>
    <n v="0"/>
    <n v="17"/>
    <n v="1"/>
    <n v="3"/>
    <n v="0"/>
    <s v="Evening Peak"/>
    <n v="0"/>
    <n v="0.95652173913043403"/>
    <n v="1"/>
    <n v="3.83203125"/>
    <n v="6.6644021739130404"/>
    <n v="4.625"/>
    <n v="8.6013888888888896"/>
  </r>
  <r>
    <x v="6"/>
    <d v="2025-01-30T00:00:00"/>
    <s v="Thursday"/>
    <d v="1899-12-30T08:30:00"/>
    <s v="S14"/>
    <n v="73"/>
    <n v="62"/>
    <n v="6.8"/>
    <n v="12"/>
    <s v="South"/>
    <n v="0"/>
    <s v="No Event"/>
    <n v="31"/>
    <n v="30"/>
    <n v="0.9"/>
    <n v="0"/>
    <n v="8"/>
    <n v="1"/>
    <n v="3"/>
    <n v="0"/>
    <s v="Morning Peak"/>
    <n v="0"/>
    <n v="0.967741935483871"/>
    <n v="0"/>
    <n v="6.0833333333333304"/>
    <n v="10.735294117646999"/>
    <n v="11"/>
    <n v="2.7611111111111102"/>
  </r>
  <r>
    <x v="9"/>
    <d v="2025-01-15T00:00:00"/>
    <s v="Wednesday"/>
    <d v="1899-12-30T18:30:00"/>
    <s v="S22"/>
    <n v="69"/>
    <n v="67"/>
    <n v="15"/>
    <n v="28"/>
    <s v="North"/>
    <n v="0"/>
    <s v="No Event"/>
    <n v="31"/>
    <n v="25"/>
    <n v="9.9"/>
    <n v="0"/>
    <n v="18"/>
    <n v="1"/>
    <n v="2"/>
    <n v="0"/>
    <s v="Evening Peak"/>
    <n v="0"/>
    <n v="0.80645161290322498"/>
    <n v="1"/>
    <n v="2.46428571428571"/>
    <n v="4.5999999999999996"/>
    <n v="2"/>
    <n v="9.4749999999999996"/>
  </r>
  <r>
    <x v="3"/>
    <d v="2025-02-20T00:00:00"/>
    <s v="Thursday"/>
    <d v="1899-12-30T15:45:00"/>
    <s v="S19"/>
    <n v="24"/>
    <n v="23"/>
    <n v="8.1999999999999993"/>
    <n v="15"/>
    <s v="Central"/>
    <n v="0"/>
    <s v="No Event"/>
    <n v="22"/>
    <n v="21"/>
    <n v="2.95"/>
    <n v="1"/>
    <n v="15"/>
    <n v="2"/>
    <n v="3"/>
    <n v="0"/>
    <s v="Off-Peak"/>
    <n v="0"/>
    <n v="0.95454545454545403"/>
    <n v="0"/>
    <n v="1.6"/>
    <n v="2.9268292682926802"/>
    <n v="1"/>
    <n v="3.6937500000000001"/>
  </r>
  <r>
    <x v="8"/>
    <d v="2025-01-28T00:00:00"/>
    <s v="Tuesday"/>
    <d v="1899-12-30T20:45:00"/>
    <s v="S19"/>
    <n v="35"/>
    <n v="34"/>
    <n v="7.3"/>
    <n v="13"/>
    <s v="South"/>
    <n v="0"/>
    <s v="No Event"/>
    <n v="24"/>
    <n v="23"/>
    <n v="3.2"/>
    <n v="0"/>
    <n v="20"/>
    <n v="1"/>
    <n v="1"/>
    <n v="0"/>
    <s v="Off-Peak"/>
    <n v="0"/>
    <n v="0.95833333333333304"/>
    <n v="0"/>
    <n v="2.6923076923076898"/>
    <n v="4.7945205479451998"/>
    <n v="1"/>
    <n v="4.0518518518518496"/>
  </r>
  <r>
    <x v="3"/>
    <d v="2025-01-23T00:00:00"/>
    <s v="Thursday"/>
    <d v="1899-12-30T20:00:00"/>
    <s v="S24"/>
    <n v="41"/>
    <n v="40"/>
    <n v="8.1999999999999993"/>
    <n v="15"/>
    <s v="Central"/>
    <n v="0"/>
    <s v="No Event"/>
    <n v="39"/>
    <n v="38"/>
    <n v="2.7"/>
    <n v="0"/>
    <n v="20"/>
    <n v="1"/>
    <n v="3"/>
    <n v="0"/>
    <s v="Off-Peak"/>
    <n v="0"/>
    <n v="0.97435897435897401"/>
    <n v="0"/>
    <n v="2.7333333333333298"/>
    <n v="5"/>
    <n v="1"/>
    <n v="3.6937500000000001"/>
  </r>
  <r>
    <x v="5"/>
    <d v="2025-02-25T00:00:00"/>
    <s v="Tuesday"/>
    <d v="1899-12-30T09:45:00"/>
    <s v="S18"/>
    <n v="66"/>
    <n v="60"/>
    <n v="12.5"/>
    <n v="22"/>
    <s v="Central"/>
    <n v="0"/>
    <s v="No Event"/>
    <n v="28"/>
    <n v="28"/>
    <n v="4.5"/>
    <n v="0"/>
    <n v="9"/>
    <n v="2"/>
    <n v="1"/>
    <n v="0"/>
    <s v="Morning Peak"/>
    <n v="0"/>
    <n v="1"/>
    <n v="0"/>
    <n v="3"/>
    <n v="5.28"/>
    <n v="6"/>
    <n v="3.4760869565217298"/>
  </r>
  <r>
    <x v="7"/>
    <d v="2025-02-16T00:00:00"/>
    <s v="Sunday"/>
    <d v="1899-12-30T17:30:00"/>
    <s v="S25"/>
    <n v="50"/>
    <n v="44"/>
    <n v="11.6"/>
    <n v="21"/>
    <s v="West"/>
    <n v="0"/>
    <s v="No Event"/>
    <n v="19"/>
    <n v="19"/>
    <n v="2.2000000000000002"/>
    <n v="0"/>
    <n v="17"/>
    <n v="2"/>
    <n v="6"/>
    <n v="1"/>
    <s v="Evening Peak"/>
    <n v="0"/>
    <n v="1"/>
    <n v="0"/>
    <n v="2.38095238095238"/>
    <n v="4.3103448275862002"/>
    <n v="6"/>
    <n v="2.80217391304347"/>
  </r>
  <r>
    <x v="4"/>
    <d v="2025-01-17T00:00:00"/>
    <s v="Friday"/>
    <d v="1899-12-30T17:30:00"/>
    <s v="S23"/>
    <n v="110"/>
    <n v="96"/>
    <n v="14.2"/>
    <n v="25"/>
    <s v="East"/>
    <n v="0"/>
    <s v="No Event"/>
    <n v="32"/>
    <n v="28"/>
    <n v="6.7"/>
    <n v="1"/>
    <n v="17"/>
    <n v="1"/>
    <n v="4"/>
    <n v="0"/>
    <s v="Evening Peak"/>
    <n v="0"/>
    <n v="0.875"/>
    <n v="1"/>
    <n v="4.4000000000000004"/>
    <n v="7.7464788732394299"/>
    <n v="14"/>
    <n v="8.3255319148936096"/>
  </r>
  <r>
    <x v="2"/>
    <d v="2025-02-07T00:00:00"/>
    <s v="Friday"/>
    <d v="1899-12-30T07:15:00"/>
    <s v="S12"/>
    <n v="115"/>
    <n v="105"/>
    <n v="18.399999999999999"/>
    <n v="32"/>
    <s v="East"/>
    <n v="0"/>
    <s v="No Event"/>
    <n v="36"/>
    <n v="29"/>
    <n v="8.3000000000000007"/>
    <n v="0"/>
    <n v="7"/>
    <n v="2"/>
    <n v="4"/>
    <n v="0"/>
    <s v="Morning Peak"/>
    <n v="0"/>
    <n v="0.80555555555555503"/>
    <n v="1"/>
    <n v="3.59375"/>
    <n v="6.25"/>
    <n v="10"/>
    <n v="8.6013888888888896"/>
  </r>
  <r>
    <x v="7"/>
    <d v="2025-02-28T00:00:00"/>
    <s v="Friday"/>
    <d v="1899-12-30T11:45:00"/>
    <s v="S03"/>
    <n v="51"/>
    <n v="50"/>
    <n v="11.6"/>
    <n v="21"/>
    <s v="West"/>
    <n v="0"/>
    <s v="No Event"/>
    <n v="27"/>
    <n v="27"/>
    <n v="1.4"/>
    <n v="0"/>
    <n v="11"/>
    <n v="2"/>
    <n v="4"/>
    <n v="0"/>
    <s v="Off-Peak"/>
    <n v="0"/>
    <n v="1"/>
    <n v="0"/>
    <n v="2.4285714285714199"/>
    <n v="4.3965517241379297"/>
    <n v="1"/>
    <n v="2.80217391304347"/>
  </r>
  <r>
    <x v="5"/>
    <d v="2025-01-13T00:00:00"/>
    <s v="Monday"/>
    <d v="1899-12-30T16:30:00"/>
    <s v="S20"/>
    <n v="56"/>
    <n v="49"/>
    <n v="12.5"/>
    <n v="22"/>
    <s v="Central"/>
    <n v="0"/>
    <s v="No Event"/>
    <n v="36"/>
    <n v="34"/>
    <n v="1.2"/>
    <n v="0"/>
    <n v="16"/>
    <n v="1"/>
    <n v="0"/>
    <n v="0"/>
    <s v="Off-Peak"/>
    <n v="0"/>
    <n v="0.94444444444444398"/>
    <n v="0"/>
    <n v="2.5454545454545401"/>
    <n v="4.4800000000000004"/>
    <n v="7"/>
    <n v="3.4760869565217298"/>
  </r>
  <r>
    <x v="9"/>
    <d v="2025-01-04T00:00:00"/>
    <s v="Saturday"/>
    <d v="1899-12-30T18:45:00"/>
    <s v="S01"/>
    <n v="75"/>
    <n v="69"/>
    <n v="15"/>
    <n v="28"/>
    <s v="North"/>
    <n v="0"/>
    <s v="No Event"/>
    <n v="19"/>
    <n v="16"/>
    <n v="11.1"/>
    <n v="0"/>
    <n v="18"/>
    <n v="1"/>
    <n v="5"/>
    <n v="1"/>
    <s v="Evening Peak"/>
    <n v="0"/>
    <n v="0.84210526315789402"/>
    <n v="1"/>
    <n v="2.6785714285714199"/>
    <n v="5"/>
    <n v="6"/>
    <n v="9.4749999999999996"/>
  </r>
  <r>
    <x v="3"/>
    <d v="2025-02-05T00:00:00"/>
    <s v="Wednesday"/>
    <d v="1899-12-30T06:15:00"/>
    <s v="S03"/>
    <n v="31"/>
    <n v="27"/>
    <n v="8.1999999999999993"/>
    <n v="15"/>
    <s v="Central"/>
    <n v="0"/>
    <s v="No Event"/>
    <n v="27"/>
    <n v="26"/>
    <n v="0.8"/>
    <n v="0"/>
    <n v="6"/>
    <n v="2"/>
    <n v="2"/>
    <n v="0"/>
    <s v="Off-Peak"/>
    <n v="0"/>
    <n v="0.96296296296296202"/>
    <n v="0"/>
    <n v="2.0666666666666602"/>
    <n v="3.7804878048780401"/>
    <n v="4"/>
    <n v="3.6937500000000001"/>
  </r>
  <r>
    <x v="9"/>
    <d v="2025-02-03T00:00:00"/>
    <s v="Monday"/>
    <d v="1899-12-30T09:30:00"/>
    <s v="S07"/>
    <n v="119"/>
    <n v="110"/>
    <n v="15"/>
    <n v="28"/>
    <s v="North"/>
    <n v="0"/>
    <s v="No Event"/>
    <n v="27"/>
    <n v="23"/>
    <n v="9.5"/>
    <n v="0"/>
    <n v="9"/>
    <n v="2"/>
    <n v="0"/>
    <n v="0"/>
    <s v="Morning Peak"/>
    <n v="0"/>
    <n v="0.85185185185185097"/>
    <n v="1"/>
    <n v="4.25"/>
    <n v="7.93333333333333"/>
    <n v="9"/>
    <n v="9.4749999999999996"/>
  </r>
  <r>
    <x v="9"/>
    <d v="2025-03-01T00:00:00"/>
    <s v="Saturday"/>
    <d v="1899-12-30T22:15:00"/>
    <s v="S08"/>
    <n v="40"/>
    <n v="38"/>
    <n v="15"/>
    <n v="28"/>
    <s v="North"/>
    <n v="0"/>
    <s v="No Event"/>
    <n v="21"/>
    <n v="20"/>
    <n v="10.6"/>
    <n v="0"/>
    <n v="22"/>
    <n v="3"/>
    <n v="5"/>
    <n v="1"/>
    <s v="Off-Peak"/>
    <n v="0"/>
    <n v="0.952380952380952"/>
    <n v="1"/>
    <n v="1.4285714285714199"/>
    <n v="2.6666666666666599"/>
    <n v="2"/>
    <n v="9.4749999999999996"/>
  </r>
  <r>
    <x v="2"/>
    <d v="2025-02-02T00:00:00"/>
    <s v="Sunday"/>
    <d v="1899-12-30T16:15:00"/>
    <s v="S01"/>
    <n v="43"/>
    <n v="38"/>
    <n v="18.399999999999999"/>
    <n v="32"/>
    <s v="East"/>
    <n v="0"/>
    <s v="No Event"/>
    <n v="22"/>
    <n v="20"/>
    <n v="14.2"/>
    <n v="0"/>
    <n v="16"/>
    <n v="2"/>
    <n v="6"/>
    <n v="1"/>
    <s v="Off-Peak"/>
    <n v="0"/>
    <n v="0.90909090909090895"/>
    <n v="1"/>
    <n v="1.34375"/>
    <n v="2.3369565217391299"/>
    <n v="5"/>
    <n v="8.6013888888888896"/>
  </r>
  <r>
    <x v="8"/>
    <d v="2025-01-05T00:00:00"/>
    <s v="Sunday"/>
    <d v="1899-12-30T07:00:00"/>
    <s v="S16"/>
    <n v="43"/>
    <n v="43"/>
    <n v="7.3"/>
    <n v="13"/>
    <s v="South"/>
    <n v="0"/>
    <s v="No Event"/>
    <n v="30"/>
    <n v="29"/>
    <n v="6.2"/>
    <n v="0"/>
    <n v="7"/>
    <n v="1"/>
    <n v="6"/>
    <n v="1"/>
    <s v="Morning Peak"/>
    <n v="0"/>
    <n v="0.96666666666666601"/>
    <n v="1"/>
    <n v="3.3076923076922999"/>
    <n v="5.89041095890411"/>
    <n v="0"/>
    <n v="4.0518518518518496"/>
  </r>
  <r>
    <x v="1"/>
    <d v="2025-01-14T00:00:00"/>
    <s v="Tuesday"/>
    <d v="1899-12-30T09:00:00"/>
    <s v="S18"/>
    <n v="66"/>
    <n v="65"/>
    <n v="9.5"/>
    <n v="17"/>
    <s v="North"/>
    <n v="1"/>
    <s v="No Event"/>
    <n v="24"/>
    <n v="23"/>
    <n v="4.0999999999999996"/>
    <n v="1"/>
    <n v="9"/>
    <n v="1"/>
    <n v="1"/>
    <n v="0"/>
    <s v="Morning Peak"/>
    <n v="0"/>
    <n v="0.95833333333333304"/>
    <n v="0"/>
    <n v="3.8823529411764701"/>
    <n v="6.9473684210526301"/>
    <n v="1"/>
    <n v="3.8470588235294101"/>
  </r>
  <r>
    <x v="4"/>
    <d v="2025-01-17T00:00:00"/>
    <s v="Friday"/>
    <d v="1899-12-30T15:45:00"/>
    <s v="S20"/>
    <n v="57"/>
    <n v="53"/>
    <n v="14.2"/>
    <n v="25"/>
    <s v="East"/>
    <n v="0"/>
    <s v="No Event"/>
    <n v="32"/>
    <n v="28"/>
    <n v="6.7"/>
    <n v="1"/>
    <n v="15"/>
    <n v="1"/>
    <n v="4"/>
    <n v="0"/>
    <s v="Off-Peak"/>
    <n v="0"/>
    <n v="0.875"/>
    <n v="1"/>
    <n v="2.2799999999999998"/>
    <n v="4.0140845070422504"/>
    <n v="4"/>
    <n v="8.3255319148936096"/>
  </r>
  <r>
    <x v="5"/>
    <d v="2025-01-25T00:00:00"/>
    <s v="Saturday"/>
    <d v="1899-12-30T19:15:00"/>
    <s v="S19"/>
    <n v="89"/>
    <n v="86"/>
    <n v="12.5"/>
    <n v="22"/>
    <s v="Central"/>
    <n v="0"/>
    <s v="Festival"/>
    <n v="19"/>
    <n v="18"/>
    <n v="0.9"/>
    <n v="0"/>
    <n v="19"/>
    <n v="1"/>
    <n v="5"/>
    <n v="1"/>
    <s v="Evening Peak"/>
    <n v="1"/>
    <n v="0.94736842105263097"/>
    <n v="0"/>
    <n v="4.0454545454545396"/>
    <n v="7.12"/>
    <n v="3"/>
    <n v="3.4760869565217298"/>
  </r>
  <r>
    <x v="2"/>
    <d v="2025-01-15T00:00:00"/>
    <s v="Wednesday"/>
    <d v="1899-12-30T08:45:00"/>
    <s v="S19"/>
    <n v="96"/>
    <n v="86"/>
    <n v="18.399999999999999"/>
    <n v="32"/>
    <s v="East"/>
    <n v="0"/>
    <s v="No Event"/>
    <n v="30"/>
    <n v="26"/>
    <n v="5.7"/>
    <n v="0"/>
    <n v="8"/>
    <n v="1"/>
    <n v="2"/>
    <n v="0"/>
    <s v="Morning Peak"/>
    <n v="0"/>
    <n v="0.86666666666666603"/>
    <n v="1"/>
    <n v="3"/>
    <n v="5.2173913043478199"/>
    <n v="10"/>
    <n v="8.6013888888888896"/>
  </r>
  <r>
    <x v="9"/>
    <d v="2025-03-01T00:00:00"/>
    <s v="Saturday"/>
    <d v="1899-12-30T18:30:00"/>
    <s v="S20"/>
    <n v="62"/>
    <n v="60"/>
    <n v="15"/>
    <n v="28"/>
    <s v="North"/>
    <n v="0"/>
    <s v="No Event"/>
    <n v="21"/>
    <n v="20"/>
    <n v="10.6"/>
    <n v="0"/>
    <n v="18"/>
    <n v="3"/>
    <n v="5"/>
    <n v="1"/>
    <s v="Evening Peak"/>
    <n v="0"/>
    <n v="0.952380952380952"/>
    <n v="1"/>
    <n v="2.21428571428571"/>
    <n v="4.1333333333333302"/>
    <n v="2"/>
    <n v="9.4749999999999996"/>
  </r>
  <r>
    <x v="5"/>
    <d v="2025-02-15T00:00:00"/>
    <s v="Saturday"/>
    <d v="1899-12-30T20:30:00"/>
    <s v="S14"/>
    <n v="42"/>
    <n v="38"/>
    <n v="12.5"/>
    <n v="22"/>
    <s v="Central"/>
    <n v="0"/>
    <s v="Concert"/>
    <n v="24"/>
    <n v="23"/>
    <n v="4.2"/>
    <n v="0"/>
    <n v="20"/>
    <n v="2"/>
    <n v="5"/>
    <n v="1"/>
    <s v="Off-Peak"/>
    <n v="1"/>
    <n v="0.95833333333333304"/>
    <n v="0"/>
    <n v="1.9090909090909001"/>
    <n v="3.36"/>
    <n v="4"/>
    <n v="3.4760869565217298"/>
  </r>
  <r>
    <x v="0"/>
    <d v="2025-01-02T00:00:00"/>
    <s v="Thursday"/>
    <d v="1899-12-30T09:30:00"/>
    <s v="S18"/>
    <n v="73"/>
    <n v="72"/>
    <n v="10.1"/>
    <n v="19"/>
    <s v="West"/>
    <n v="0"/>
    <s v="No Event"/>
    <n v="30"/>
    <n v="30"/>
    <n v="3.3"/>
    <n v="1"/>
    <n v="9"/>
    <n v="1"/>
    <n v="3"/>
    <n v="0"/>
    <s v="Morning Peak"/>
    <n v="0"/>
    <n v="1"/>
    <n v="0"/>
    <n v="3.8421052631578898"/>
    <n v="7.2277227722772199"/>
    <n v="1"/>
    <n v="3.6613636363636299"/>
  </r>
  <r>
    <x v="9"/>
    <d v="2025-02-06T00:00:00"/>
    <s v="Thursday"/>
    <d v="1899-12-30T11:30:00"/>
    <s v="S20"/>
    <n v="47"/>
    <n v="43"/>
    <n v="15"/>
    <n v="28"/>
    <s v="North"/>
    <n v="0"/>
    <s v="No Event"/>
    <n v="34"/>
    <n v="32"/>
    <n v="10.3"/>
    <n v="0"/>
    <n v="11"/>
    <n v="2"/>
    <n v="3"/>
    <n v="0"/>
    <s v="Off-Peak"/>
    <n v="0"/>
    <n v="0.94117647058823495"/>
    <n v="1"/>
    <n v="1.6785714285714199"/>
    <n v="3.1333333333333302"/>
    <n v="4"/>
    <n v="9.4749999999999996"/>
  </r>
  <r>
    <x v="7"/>
    <d v="2025-01-05T00:00:00"/>
    <s v="Sunday"/>
    <d v="1899-12-30T16:00:00"/>
    <s v="S07"/>
    <n v="27"/>
    <n v="23"/>
    <n v="11.6"/>
    <n v="21"/>
    <s v="West"/>
    <n v="0"/>
    <s v="No Event"/>
    <n v="29"/>
    <n v="28"/>
    <n v="1.2"/>
    <n v="0"/>
    <n v="16"/>
    <n v="1"/>
    <n v="6"/>
    <n v="1"/>
    <s v="Off-Peak"/>
    <n v="0"/>
    <n v="0.96551724137931005"/>
    <n v="0"/>
    <n v="1.28571428571428"/>
    <n v="2.3275862068965498"/>
    <n v="4"/>
    <n v="2.80217391304347"/>
  </r>
  <r>
    <x v="9"/>
    <d v="2025-02-06T00:00:00"/>
    <s v="Thursday"/>
    <d v="1899-12-30T06:30:00"/>
    <s v="S20"/>
    <n v="48"/>
    <n v="43"/>
    <n v="15"/>
    <n v="28"/>
    <s v="North"/>
    <n v="0"/>
    <s v="No Event"/>
    <n v="34"/>
    <n v="32"/>
    <n v="10.3"/>
    <n v="0"/>
    <n v="6"/>
    <n v="2"/>
    <n v="3"/>
    <n v="0"/>
    <s v="Off-Peak"/>
    <n v="0"/>
    <n v="0.94117647058823495"/>
    <n v="1"/>
    <n v="1.71428571428571"/>
    <n v="3.2"/>
    <n v="5"/>
    <n v="9.4749999999999996"/>
  </r>
  <r>
    <x v="4"/>
    <d v="2025-01-19T00:00:00"/>
    <s v="Sunday"/>
    <d v="1899-12-30T15:00:00"/>
    <s v="S01"/>
    <n v="26"/>
    <n v="25"/>
    <n v="14.2"/>
    <n v="25"/>
    <s v="East"/>
    <n v="0"/>
    <s v="No Event"/>
    <n v="23"/>
    <n v="21"/>
    <n v="6.7"/>
    <n v="1"/>
    <n v="15"/>
    <n v="1"/>
    <n v="6"/>
    <n v="1"/>
    <s v="Off-Peak"/>
    <n v="0"/>
    <n v="0.91304347826086896"/>
    <n v="1"/>
    <n v="1.04"/>
    <n v="1.83098591549295"/>
    <n v="1"/>
    <n v="8.3255319148936096"/>
  </r>
  <r>
    <x v="1"/>
    <d v="2025-02-23T00:00:00"/>
    <s v="Sunday"/>
    <d v="1899-12-30T09:15:00"/>
    <s v="S10"/>
    <n v="47"/>
    <n v="43"/>
    <n v="9.5"/>
    <n v="17"/>
    <s v="North"/>
    <n v="0"/>
    <s v="No Event"/>
    <n v="27"/>
    <n v="26"/>
    <n v="1.8"/>
    <n v="0"/>
    <n v="9"/>
    <n v="2"/>
    <n v="6"/>
    <n v="1"/>
    <s v="Morning Peak"/>
    <n v="0"/>
    <n v="0.96296296296296202"/>
    <n v="0"/>
    <n v="2.7647058823529398"/>
    <n v="4.9473684210526301"/>
    <n v="4"/>
    <n v="3.8470588235294101"/>
  </r>
  <r>
    <x v="7"/>
    <d v="2025-01-03T00:00:00"/>
    <s v="Friday"/>
    <d v="1899-12-30T16:30:00"/>
    <s v="S20"/>
    <n v="54"/>
    <n v="52"/>
    <n v="11.6"/>
    <n v="21"/>
    <s v="West"/>
    <n v="0"/>
    <s v="No Event"/>
    <n v="35"/>
    <n v="34"/>
    <n v="4.5999999999999996"/>
    <n v="0"/>
    <n v="16"/>
    <n v="1"/>
    <n v="4"/>
    <n v="0"/>
    <s v="Off-Peak"/>
    <n v="0"/>
    <n v="0.97142857142857097"/>
    <n v="0"/>
    <n v="2.5714285714285698"/>
    <n v="4.6551724137930997"/>
    <n v="2"/>
    <n v="2.80217391304347"/>
  </r>
  <r>
    <x v="4"/>
    <d v="2025-01-23T00:00:00"/>
    <s v="Thursday"/>
    <d v="1899-12-30T15:00:00"/>
    <s v="S01"/>
    <n v="48"/>
    <n v="43"/>
    <n v="14.2"/>
    <n v="25"/>
    <s v="East"/>
    <n v="0"/>
    <s v="No Event"/>
    <n v="20"/>
    <n v="17"/>
    <n v="5"/>
    <n v="0"/>
    <n v="15"/>
    <n v="1"/>
    <n v="3"/>
    <n v="0"/>
    <s v="Off-Peak"/>
    <n v="0"/>
    <n v="0.85"/>
    <n v="0"/>
    <n v="1.92"/>
    <n v="3.3802816901408401"/>
    <n v="5"/>
    <n v="8.3255319148936096"/>
  </r>
  <r>
    <x v="9"/>
    <d v="2025-02-23T00:00:00"/>
    <s v="Sunday"/>
    <d v="1899-12-30T16:30:00"/>
    <s v="S19"/>
    <n v="42"/>
    <n v="41"/>
    <n v="15"/>
    <n v="28"/>
    <s v="North"/>
    <n v="0"/>
    <s v="No Event"/>
    <n v="19"/>
    <n v="16"/>
    <n v="6.2"/>
    <n v="0"/>
    <n v="16"/>
    <n v="2"/>
    <n v="6"/>
    <n v="1"/>
    <s v="Off-Peak"/>
    <n v="0"/>
    <n v="0.84210526315789402"/>
    <n v="1"/>
    <n v="1.5"/>
    <n v="2.8"/>
    <n v="1"/>
    <n v="9.4749999999999996"/>
  </r>
  <r>
    <x v="2"/>
    <d v="2025-02-24T00:00:00"/>
    <s v="Monday"/>
    <d v="1899-12-30T16:45:00"/>
    <s v="S20"/>
    <n v="55"/>
    <n v="53"/>
    <n v="18.399999999999999"/>
    <n v="32"/>
    <s v="East"/>
    <n v="0"/>
    <s v="No Event"/>
    <n v="30"/>
    <n v="28"/>
    <n v="18.8"/>
    <n v="0"/>
    <n v="16"/>
    <n v="2"/>
    <n v="0"/>
    <n v="0"/>
    <s v="Off-Peak"/>
    <n v="0"/>
    <n v="0.93333333333333302"/>
    <n v="1"/>
    <n v="1.71875"/>
    <n v="2.9891304347826"/>
    <n v="2"/>
    <n v="8.6013888888888896"/>
  </r>
  <r>
    <x v="5"/>
    <d v="2025-02-21T00:00:00"/>
    <s v="Friday"/>
    <d v="1899-12-30T14:45:00"/>
    <s v="UNKNOWN"/>
    <n v="31"/>
    <n v="30"/>
    <n v="12.5"/>
    <n v="22"/>
    <s v="Central"/>
    <n v="0"/>
    <s v="No Event"/>
    <n v="38"/>
    <n v="36"/>
    <n v="0.9"/>
    <n v="0"/>
    <n v="14"/>
    <n v="2"/>
    <n v="4"/>
    <n v="0"/>
    <s v="Off-Peak"/>
    <n v="0"/>
    <n v="0.94736842105263097"/>
    <n v="0"/>
    <n v="1.4090909090909001"/>
    <n v="2.48"/>
    <n v="1"/>
    <n v="3.4760869565217298"/>
  </r>
  <r>
    <x v="9"/>
    <d v="2025-02-16T00:00:00"/>
    <s v="Sunday"/>
    <d v="1899-12-30T13:45:00"/>
    <s v="S06"/>
    <n v="40"/>
    <n v="39"/>
    <n v="15"/>
    <n v="28"/>
    <s v="North"/>
    <n v="0"/>
    <s v="No Event"/>
    <n v="25"/>
    <n v="21"/>
    <n v="7.7"/>
    <n v="0"/>
    <n v="13"/>
    <n v="2"/>
    <n v="6"/>
    <n v="1"/>
    <s v="Off-Peak"/>
    <n v="0"/>
    <n v="0.84"/>
    <n v="1"/>
    <n v="1.4285714285714199"/>
    <n v="2.6666666666666599"/>
    <n v="1"/>
    <n v="9.4749999999999996"/>
  </r>
  <r>
    <x v="5"/>
    <d v="2025-01-06T00:00:00"/>
    <s v="Monday"/>
    <d v="1899-12-30T09:30:00"/>
    <s v="S20"/>
    <n v="101"/>
    <n v="101"/>
    <n v="12.5"/>
    <n v="22"/>
    <s v="Central"/>
    <n v="0"/>
    <s v="No Event"/>
    <n v="38"/>
    <n v="35"/>
    <n v="5.9"/>
    <n v="0"/>
    <n v="9"/>
    <n v="1"/>
    <n v="0"/>
    <n v="0"/>
    <s v="Morning Peak"/>
    <n v="0"/>
    <n v="0.92105263157894701"/>
    <n v="1"/>
    <n v="4.5909090909090899"/>
    <n v="8.08"/>
    <n v="0"/>
    <n v="3.4760869565217298"/>
  </r>
  <r>
    <x v="9"/>
    <d v="2025-01-25T00:00:00"/>
    <s v="Saturday"/>
    <d v="1899-12-30T07:15:00"/>
    <s v="S01"/>
    <n v="122.625"/>
    <n v="121"/>
    <n v="15"/>
    <n v="28"/>
    <s v="North"/>
    <n v="0"/>
    <s v="Festival"/>
    <n v="22"/>
    <n v="20"/>
    <n v="12.1"/>
    <n v="0"/>
    <n v="7"/>
    <n v="1"/>
    <n v="5"/>
    <n v="1"/>
    <s v="Morning Peak"/>
    <n v="1"/>
    <n v="0.90909090909090895"/>
    <n v="1"/>
    <n v="4.3794642857142803"/>
    <n v="8.1750000000000007"/>
    <n v="1.625"/>
    <n v="9.4749999999999996"/>
  </r>
  <r>
    <x v="2"/>
    <d v="2025-01-19T00:00:00"/>
    <s v="Sunday"/>
    <d v="1899-12-30T11:45:00"/>
    <s v="S10"/>
    <n v="122.625"/>
    <n v="37"/>
    <n v="18.399999999999999"/>
    <n v="32"/>
    <s v="East"/>
    <n v="0"/>
    <s v="No Event"/>
    <n v="34"/>
    <n v="30"/>
    <n v="9.3000000000000007"/>
    <n v="0"/>
    <n v="11"/>
    <n v="1"/>
    <n v="6"/>
    <n v="1"/>
    <s v="Off-Peak"/>
    <n v="0"/>
    <n v="0.88235294117647001"/>
    <n v="1"/>
    <n v="3.83203125"/>
    <n v="6.6644021739130404"/>
    <n v="85.625"/>
    <n v="8.6013888888888896"/>
  </r>
  <r>
    <x v="5"/>
    <d v="2025-01-17T00:00:00"/>
    <s v="Friday"/>
    <d v="1899-12-30T18:00:00"/>
    <s v="S12"/>
    <n v="91"/>
    <n v="77"/>
    <n v="12.5"/>
    <n v="22"/>
    <s v="Central"/>
    <n v="0"/>
    <s v="No Event"/>
    <n v="19"/>
    <n v="18"/>
    <n v="2"/>
    <n v="0"/>
    <n v="18"/>
    <n v="1"/>
    <n v="4"/>
    <n v="0"/>
    <s v="Evening Peak"/>
    <n v="0"/>
    <n v="0.94736842105263097"/>
    <n v="0"/>
    <n v="4.1363636363636296"/>
    <n v="7.28"/>
    <n v="14"/>
    <n v="3.4760869565217298"/>
  </r>
  <r>
    <x v="3"/>
    <d v="2025-01-26T00:00:00"/>
    <s v="Sunday"/>
    <d v="1899-12-30T15:45:00"/>
    <s v="S23"/>
    <n v="27"/>
    <n v="24"/>
    <n v="8.1999999999999993"/>
    <n v="15"/>
    <s v="Central"/>
    <n v="1"/>
    <s v="No Event"/>
    <n v="19"/>
    <n v="19"/>
    <n v="2.5"/>
    <n v="0"/>
    <n v="15"/>
    <n v="1"/>
    <n v="6"/>
    <n v="1"/>
    <s v="Off-Peak"/>
    <n v="0"/>
    <n v="1"/>
    <n v="0"/>
    <n v="1.8"/>
    <n v="3.2926829268292601"/>
    <n v="3"/>
    <n v="3.6937500000000001"/>
  </r>
  <r>
    <x v="6"/>
    <d v="2025-01-17T00:00:00"/>
    <s v="Friday"/>
    <d v="1899-12-30T17:15:00"/>
    <s v="S18"/>
    <n v="57"/>
    <n v="52"/>
    <n v="6.8"/>
    <n v="12"/>
    <s v="South"/>
    <n v="0"/>
    <s v="No Event"/>
    <n v="37"/>
    <n v="35"/>
    <n v="2.6"/>
    <n v="0"/>
    <n v="17"/>
    <n v="1"/>
    <n v="4"/>
    <n v="0"/>
    <s v="Evening Peak"/>
    <n v="0"/>
    <n v="0.94594594594594505"/>
    <n v="0"/>
    <n v="4.75"/>
    <n v="8.3823529411764692"/>
    <n v="5"/>
    <n v="2.7611111111111102"/>
  </r>
  <r>
    <x v="5"/>
    <d v="2025-01-06T00:00:00"/>
    <s v="Monday"/>
    <d v="1899-12-30T14:00:00"/>
    <s v="S09"/>
    <n v="46"/>
    <n v="43"/>
    <n v="12.5"/>
    <n v="22"/>
    <s v="Central"/>
    <n v="0"/>
    <s v="No Event"/>
    <n v="38"/>
    <n v="35"/>
    <n v="5.9"/>
    <n v="0"/>
    <n v="14"/>
    <n v="1"/>
    <n v="0"/>
    <n v="0"/>
    <s v="Off-Peak"/>
    <n v="0"/>
    <n v="0.92105263157894701"/>
    <n v="1"/>
    <n v="2.0909090909090899"/>
    <n v="3.68"/>
    <n v="3"/>
    <n v="3.4760869565217298"/>
  </r>
  <r>
    <x v="3"/>
    <d v="2025-02-12T00:00:00"/>
    <s v="Wednesday"/>
    <d v="1899-12-30T14:45:00"/>
    <s v="S25"/>
    <n v="43"/>
    <n v="37"/>
    <n v="8.1999999999999993"/>
    <n v="15"/>
    <s v="Central"/>
    <n v="0"/>
    <s v="No Event"/>
    <n v="25"/>
    <n v="24"/>
    <n v="8.1999999999999993"/>
    <n v="0"/>
    <n v="14"/>
    <n v="2"/>
    <n v="2"/>
    <n v="0"/>
    <s v="Off-Peak"/>
    <n v="0"/>
    <n v="0.96"/>
    <n v="1"/>
    <n v="2.86666666666666"/>
    <n v="5.2439024390243896"/>
    <n v="6"/>
    <n v="3.6937500000000001"/>
  </r>
  <r>
    <x v="9"/>
    <d v="2025-01-04T00:00:00"/>
    <s v="Saturday"/>
    <d v="1899-12-30T06:30:00"/>
    <s v="S23"/>
    <n v="37"/>
    <n v="36"/>
    <n v="15"/>
    <n v="28"/>
    <s v="North"/>
    <n v="0"/>
    <s v="No Event"/>
    <n v="19"/>
    <n v="16"/>
    <n v="11.1"/>
    <n v="0"/>
    <n v="6"/>
    <n v="1"/>
    <n v="5"/>
    <n v="1"/>
    <s v="Off-Peak"/>
    <n v="0"/>
    <n v="0.84210526315789402"/>
    <n v="1"/>
    <n v="1.3214285714285701"/>
    <n v="2.4666666666666601"/>
    <n v="1"/>
    <n v="9.4749999999999996"/>
  </r>
  <r>
    <x v="7"/>
    <d v="2025-01-13T00:00:00"/>
    <s v="Monday"/>
    <d v="1899-12-30T14:00:00"/>
    <s v="S07"/>
    <n v="48"/>
    <n v="47"/>
    <n v="11.6"/>
    <n v="21"/>
    <s v="West"/>
    <n v="0"/>
    <s v="No Event"/>
    <n v="23"/>
    <n v="22"/>
    <n v="0.5"/>
    <n v="0"/>
    <n v="14"/>
    <n v="1"/>
    <n v="0"/>
    <n v="0"/>
    <s v="Off-Peak"/>
    <n v="0"/>
    <n v="0.95652173913043403"/>
    <n v="0"/>
    <n v="2.2857142857142798"/>
    <n v="4.13793103448275"/>
    <n v="1"/>
    <n v="2.80217391304347"/>
  </r>
  <r>
    <x v="9"/>
    <d v="2025-02-07T00:00:00"/>
    <s v="Friday"/>
    <d v="1899-12-30T13:00:00"/>
    <s v="S25"/>
    <n v="47"/>
    <n v="44"/>
    <n v="15"/>
    <n v="28"/>
    <s v="North"/>
    <n v="0"/>
    <s v="No Event"/>
    <n v="23"/>
    <n v="19"/>
    <n v="6.8"/>
    <n v="0"/>
    <n v="13"/>
    <n v="2"/>
    <n v="4"/>
    <n v="0"/>
    <s v="Off-Peak"/>
    <n v="0"/>
    <n v="0.82608695652173902"/>
    <n v="1"/>
    <n v="1.6785714285714199"/>
    <n v="3.1333333333333302"/>
    <n v="3"/>
    <n v="9.4749999999999996"/>
  </r>
  <r>
    <x v="3"/>
    <d v="2025-02-03T00:00:00"/>
    <s v="Monday"/>
    <d v="1899-12-30T11:15:00"/>
    <s v="S15"/>
    <n v="24"/>
    <n v="24"/>
    <n v="8.1999999999999993"/>
    <n v="15"/>
    <s v="Central"/>
    <n v="0"/>
    <s v="No Event"/>
    <n v="31"/>
    <n v="30"/>
    <n v="6.1"/>
    <n v="0"/>
    <n v="11"/>
    <n v="2"/>
    <n v="0"/>
    <n v="0"/>
    <s v="Off-Peak"/>
    <n v="0"/>
    <n v="0.967741935483871"/>
    <n v="1"/>
    <n v="1.6"/>
    <n v="2.9268292682926802"/>
    <n v="0"/>
    <n v="3.6937500000000001"/>
  </r>
  <r>
    <x v="2"/>
    <d v="2025-01-08T00:00:00"/>
    <s v="Wednesday"/>
    <d v="1899-12-30T16:30:00"/>
    <s v="S25"/>
    <n v="66"/>
    <n v="60"/>
    <n v="18.399999999999999"/>
    <n v="32"/>
    <s v="East"/>
    <n v="0"/>
    <s v="No Event"/>
    <n v="25"/>
    <n v="24"/>
    <n v="8.8000000000000007"/>
    <n v="1"/>
    <n v="16"/>
    <n v="1"/>
    <n v="2"/>
    <n v="0"/>
    <s v="Off-Peak"/>
    <n v="0"/>
    <n v="0.96"/>
    <n v="1"/>
    <n v="2.0625"/>
    <n v="3.5869565217391299"/>
    <n v="6"/>
    <n v="8.6013888888888896"/>
  </r>
  <r>
    <x v="5"/>
    <d v="2025-01-09T00:00:00"/>
    <s v="Thursday"/>
    <d v="1899-12-30T07:00:00"/>
    <s v="S23"/>
    <n v="77"/>
    <n v="74"/>
    <n v="12.5"/>
    <n v="22"/>
    <s v="Central"/>
    <n v="0"/>
    <s v="No Event"/>
    <n v="33"/>
    <n v="31"/>
    <n v="4.5"/>
    <n v="0"/>
    <n v="7"/>
    <n v="1"/>
    <n v="3"/>
    <n v="0"/>
    <s v="Morning Peak"/>
    <n v="0"/>
    <n v="0.939393939393939"/>
    <n v="0"/>
    <n v="3.5"/>
    <n v="6.16"/>
    <n v="3"/>
    <n v="3.4760869565217298"/>
  </r>
  <r>
    <x v="1"/>
    <d v="2025-02-28T00:00:00"/>
    <s v="Friday"/>
    <d v="1899-12-30T17:45:00"/>
    <s v="S18"/>
    <n v="56"/>
    <n v="51"/>
    <n v="9.5"/>
    <n v="17"/>
    <s v="North"/>
    <n v="0"/>
    <s v="No Event"/>
    <n v="19"/>
    <n v="18"/>
    <n v="10.4"/>
    <n v="0"/>
    <n v="17"/>
    <n v="2"/>
    <n v="4"/>
    <n v="0"/>
    <s v="Evening Peak"/>
    <n v="0"/>
    <n v="0.94736842105263097"/>
    <n v="1"/>
    <n v="3.2941176470588198"/>
    <n v="5.8947368421052602"/>
    <n v="5"/>
    <n v="3.8470588235294101"/>
  </r>
  <r>
    <x v="3"/>
    <d v="2025-03-01T00:00:00"/>
    <s v="Saturday"/>
    <d v="1899-12-30T08:15:00"/>
    <s v="S06"/>
    <n v="64"/>
    <n v="63"/>
    <n v="8.1999999999999993"/>
    <n v="15"/>
    <s v="Central"/>
    <n v="0"/>
    <s v="No Event"/>
    <n v="33"/>
    <n v="32"/>
    <n v="0.6"/>
    <n v="0"/>
    <n v="8"/>
    <n v="3"/>
    <n v="5"/>
    <n v="1"/>
    <s v="Morning Peak"/>
    <n v="0"/>
    <n v="0.96969696969696895"/>
    <n v="0"/>
    <n v="4.2666666666666604"/>
    <n v="7.8048780487804796"/>
    <n v="1"/>
    <n v="3.6937500000000001"/>
  </r>
  <r>
    <x v="5"/>
    <d v="2025-01-18T00:00:00"/>
    <s v="Saturday"/>
    <d v="1899-12-30T15:30:00"/>
    <s v="S06"/>
    <n v="43"/>
    <n v="39"/>
    <n v="12.5"/>
    <n v="22"/>
    <s v="Central"/>
    <n v="0"/>
    <s v="Concert"/>
    <n v="28"/>
    <n v="28"/>
    <n v="5.8"/>
    <n v="0"/>
    <n v="15"/>
    <n v="1"/>
    <n v="5"/>
    <n v="1"/>
    <s v="Off-Peak"/>
    <n v="1"/>
    <n v="1"/>
    <n v="1"/>
    <n v="1.9545454545454499"/>
    <n v="3.44"/>
    <n v="4"/>
    <n v="3.4760869565217298"/>
  </r>
  <r>
    <x v="5"/>
    <d v="2025-01-06T00:00:00"/>
    <s v="Monday"/>
    <d v="1899-12-30T20:15:00"/>
    <s v="S07"/>
    <n v="42"/>
    <n v="41"/>
    <n v="12.5"/>
    <n v="22"/>
    <s v="Central"/>
    <n v="0"/>
    <s v="No Event"/>
    <n v="38"/>
    <n v="35"/>
    <n v="5.9"/>
    <n v="0"/>
    <n v="20"/>
    <n v="1"/>
    <n v="0"/>
    <n v="0"/>
    <s v="Off-Peak"/>
    <n v="0"/>
    <n v="0.92105263157894701"/>
    <n v="1"/>
    <n v="1.9090909090909001"/>
    <n v="3.36"/>
    <n v="1"/>
    <n v="3.4760869565217298"/>
  </r>
  <r>
    <x v="9"/>
    <d v="2025-01-05T00:00:00"/>
    <s v="Sunday"/>
    <d v="1899-12-30T17:00:00"/>
    <s v="S20"/>
    <n v="70"/>
    <n v="62"/>
    <n v="15"/>
    <n v="28"/>
    <s v="North"/>
    <n v="0"/>
    <s v="No Event"/>
    <n v="21"/>
    <n v="20"/>
    <n v="3"/>
    <n v="0"/>
    <n v="17"/>
    <n v="1"/>
    <n v="6"/>
    <n v="1"/>
    <s v="Evening Peak"/>
    <n v="0"/>
    <n v="0.952380952380952"/>
    <n v="0"/>
    <n v="2.5"/>
    <n v="4.6666666666666599"/>
    <n v="8"/>
    <n v="9.4749999999999996"/>
  </r>
  <r>
    <x v="3"/>
    <d v="2025-02-18T00:00:00"/>
    <s v="Tuesday"/>
    <d v="1899-12-30T21:30:00"/>
    <s v="S18"/>
    <n v="40"/>
    <n v="35"/>
    <n v="8.1999999999999993"/>
    <n v="15"/>
    <s v="Central"/>
    <n v="0"/>
    <s v="No Event"/>
    <n v="23"/>
    <n v="23"/>
    <n v="2.1"/>
    <n v="0"/>
    <n v="21"/>
    <n v="2"/>
    <n v="1"/>
    <n v="0"/>
    <s v="Off-Peak"/>
    <n v="0"/>
    <n v="1"/>
    <n v="0"/>
    <n v="2.6666666666666599"/>
    <n v="4.8780487804878003"/>
    <n v="5"/>
    <n v="3.6937500000000001"/>
  </r>
  <r>
    <x v="5"/>
    <d v="2025-02-02T00:00:00"/>
    <s v="Sunday"/>
    <d v="1899-12-30T20:15:00"/>
    <s v="S19"/>
    <n v="28"/>
    <n v="25"/>
    <n v="12.5"/>
    <n v="22"/>
    <s v="Central"/>
    <n v="0"/>
    <s v="No Event"/>
    <n v="22"/>
    <n v="21"/>
    <n v="2.2999999999999998"/>
    <n v="0"/>
    <n v="20"/>
    <n v="2"/>
    <n v="6"/>
    <n v="1"/>
    <s v="Off-Peak"/>
    <n v="0"/>
    <n v="0.95454545454545403"/>
    <n v="0"/>
    <n v="1.27272727272727"/>
    <n v="2.2400000000000002"/>
    <n v="3"/>
    <n v="3.4760869565217298"/>
  </r>
  <r>
    <x v="0"/>
    <d v="2025-02-25T00:00:00"/>
    <s v="Tuesday"/>
    <d v="1899-12-30T20:00:00"/>
    <s v="S01"/>
    <n v="37"/>
    <n v="33"/>
    <n v="10.1"/>
    <n v="19"/>
    <s v="West"/>
    <n v="0"/>
    <s v="No Event"/>
    <n v="39"/>
    <n v="38"/>
    <n v="6"/>
    <n v="0"/>
    <n v="20"/>
    <n v="2"/>
    <n v="1"/>
    <n v="0"/>
    <s v="Off-Peak"/>
    <n v="0"/>
    <n v="0.97435897435897401"/>
    <n v="1"/>
    <n v="1.9473684210526301"/>
    <n v="3.66336633663366"/>
    <n v="4"/>
    <n v="3.6613636363636299"/>
  </r>
  <r>
    <x v="4"/>
    <d v="2025-02-22T00:00:00"/>
    <s v="Saturday"/>
    <d v="1899-12-30T07:30:00"/>
    <s v="S04"/>
    <n v="122.625"/>
    <n v="126"/>
    <n v="14.2"/>
    <n v="25"/>
    <s v="East"/>
    <n v="0"/>
    <s v="Festival"/>
    <n v="21"/>
    <n v="19"/>
    <n v="6.7"/>
    <n v="1"/>
    <n v="7"/>
    <n v="2"/>
    <n v="5"/>
    <n v="1"/>
    <s v="Morning Peak"/>
    <n v="1"/>
    <n v="0.90476190476190399"/>
    <n v="1"/>
    <n v="4.9050000000000002"/>
    <n v="8.63556338028169"/>
    <n v="-3.375"/>
    <n v="8.3255319148936096"/>
  </r>
  <r>
    <x v="7"/>
    <d v="2025-01-08T00:00:00"/>
    <s v="Wednesday"/>
    <d v="1899-12-30T14:00:00"/>
    <s v="S09"/>
    <n v="46"/>
    <n v="41"/>
    <n v="11.6"/>
    <n v="21"/>
    <s v="West"/>
    <n v="0"/>
    <s v="No Event"/>
    <n v="34"/>
    <n v="32"/>
    <n v="2.4"/>
    <n v="0"/>
    <n v="14"/>
    <n v="1"/>
    <n v="2"/>
    <n v="0"/>
    <s v="Off-Peak"/>
    <n v="0"/>
    <n v="0.94117647058823495"/>
    <n v="0"/>
    <n v="2.1904761904761898"/>
    <n v="3.9655172413793101"/>
    <n v="5"/>
    <n v="2.80217391304347"/>
  </r>
  <r>
    <x v="6"/>
    <d v="2025-02-25T00:00:00"/>
    <s v="Tuesday"/>
    <d v="1899-12-30T13:30:00"/>
    <s v="S20"/>
    <n v="45"/>
    <n v="45"/>
    <n v="6.8"/>
    <n v="12"/>
    <s v="South"/>
    <n v="0"/>
    <s v="No Event"/>
    <n v="25"/>
    <n v="24"/>
    <n v="4.3"/>
    <n v="0"/>
    <n v="13"/>
    <n v="2"/>
    <n v="1"/>
    <n v="0"/>
    <s v="Off-Peak"/>
    <n v="0"/>
    <n v="0.96"/>
    <n v="0"/>
    <n v="3.75"/>
    <n v="6.6176470588235299"/>
    <n v="0"/>
    <n v="2.7611111111111102"/>
  </r>
  <r>
    <x v="2"/>
    <d v="2025-01-30T00:00:00"/>
    <s v="Thursday"/>
    <d v="1899-12-30T07:00:00"/>
    <s v="S20"/>
    <n v="121"/>
    <n v="104"/>
    <n v="18.399999999999999"/>
    <n v="32"/>
    <s v="East"/>
    <n v="0"/>
    <s v="No Event"/>
    <n v="37"/>
    <n v="32"/>
    <n v="9.8000000000000007"/>
    <n v="0"/>
    <n v="7"/>
    <n v="1"/>
    <n v="3"/>
    <n v="0"/>
    <s v="Morning Peak"/>
    <n v="0"/>
    <n v="0.86486486486486402"/>
    <n v="1"/>
    <n v="3.78125"/>
    <n v="6.5760869565217304"/>
    <n v="17"/>
    <n v="8.6013888888888896"/>
  </r>
  <r>
    <x v="6"/>
    <d v="2025-01-01T00:00:00"/>
    <s v="Wednesday"/>
    <d v="1899-12-30T13:00:00"/>
    <s v="S20"/>
    <n v="32"/>
    <n v="30"/>
    <n v="6.8"/>
    <n v="12"/>
    <s v="South"/>
    <n v="1"/>
    <s v="No Event"/>
    <n v="33"/>
    <n v="31"/>
    <n v="3.6"/>
    <n v="0"/>
    <n v="13"/>
    <n v="1"/>
    <n v="2"/>
    <n v="0"/>
    <s v="Off-Peak"/>
    <n v="0"/>
    <n v="0.939393939393939"/>
    <n v="0"/>
    <n v="2.6666666666666599"/>
    <n v="4.7058823529411704"/>
    <n v="2"/>
    <n v="2.7611111111111102"/>
  </r>
  <r>
    <x v="6"/>
    <d v="2025-01-15T00:00:00"/>
    <s v="Wednesday"/>
    <d v="1899-12-30T20:15:00"/>
    <s v="S22"/>
    <n v="28"/>
    <n v="27"/>
    <n v="6.8"/>
    <n v="12"/>
    <s v="South"/>
    <n v="0"/>
    <s v="No Event"/>
    <n v="39"/>
    <n v="37"/>
    <n v="2.8"/>
    <n v="0"/>
    <n v="20"/>
    <n v="1"/>
    <n v="2"/>
    <n v="0"/>
    <s v="Off-Peak"/>
    <n v="0"/>
    <n v="0.94871794871794801"/>
    <n v="0"/>
    <n v="2.3333333333333299"/>
    <n v="4.1176470588235299"/>
    <n v="1"/>
    <n v="2.7611111111111102"/>
  </r>
  <r>
    <x v="3"/>
    <d v="2025-02-22T00:00:00"/>
    <s v="Saturday"/>
    <d v="1899-12-30T19:30:00"/>
    <s v="S14"/>
    <n v="66"/>
    <n v="64"/>
    <n v="8.1999999999999993"/>
    <n v="15"/>
    <s v="Central"/>
    <n v="0"/>
    <s v="Festival"/>
    <n v="39"/>
    <n v="37"/>
    <n v="5.7"/>
    <n v="0"/>
    <n v="19"/>
    <n v="2"/>
    <n v="5"/>
    <n v="1"/>
    <s v="Evening Peak"/>
    <n v="1"/>
    <n v="0.94871794871794801"/>
    <n v="1"/>
    <n v="4.4000000000000004"/>
    <n v="8.0487804878048692"/>
    <n v="2"/>
    <n v="3.6937500000000001"/>
  </r>
  <r>
    <x v="0"/>
    <d v="2025-02-09T00:00:00"/>
    <s v="Sunday"/>
    <d v="1899-12-30T09:15:00"/>
    <s v="S16"/>
    <n v="49"/>
    <n v="45"/>
    <n v="10.1"/>
    <n v="19"/>
    <s v="West"/>
    <n v="0"/>
    <s v="No Event"/>
    <n v="31"/>
    <n v="30"/>
    <n v="7.8"/>
    <n v="0"/>
    <n v="9"/>
    <n v="2"/>
    <n v="6"/>
    <n v="1"/>
    <s v="Morning Peak"/>
    <n v="0"/>
    <n v="0.967741935483871"/>
    <n v="1"/>
    <n v="2.57894736842105"/>
    <n v="4.8514851485148496"/>
    <n v="4"/>
    <n v="3.6613636363636299"/>
  </r>
  <r>
    <x v="5"/>
    <d v="2025-01-31T00:00:00"/>
    <s v="Friday"/>
    <d v="1899-12-30T16:00:00"/>
    <s v="S07"/>
    <n v="35"/>
    <n v="34"/>
    <n v="12.5"/>
    <n v="22"/>
    <s v="Central"/>
    <n v="0"/>
    <s v="No Event"/>
    <n v="26"/>
    <n v="25"/>
    <n v="2.2000000000000002"/>
    <n v="0"/>
    <n v="16"/>
    <n v="1"/>
    <n v="4"/>
    <n v="0"/>
    <s v="Off-Peak"/>
    <n v="0"/>
    <n v="0.96153846153846101"/>
    <n v="0"/>
    <n v="1.5909090909090899"/>
    <n v="2.8"/>
    <n v="1"/>
    <n v="3.4760869565217298"/>
  </r>
  <r>
    <x v="7"/>
    <d v="2025-01-03T00:00:00"/>
    <s v="Friday"/>
    <d v="1899-12-30T08:30:00"/>
    <s v="S16"/>
    <n v="75"/>
    <n v="67"/>
    <n v="11.6"/>
    <n v="21"/>
    <s v="West"/>
    <n v="0"/>
    <s v="No Event"/>
    <n v="35"/>
    <n v="34"/>
    <n v="4.5999999999999996"/>
    <n v="0"/>
    <n v="8"/>
    <n v="1"/>
    <n v="4"/>
    <n v="0"/>
    <s v="Morning Peak"/>
    <n v="0"/>
    <n v="0.97142857142857097"/>
    <n v="0"/>
    <n v="3.5714285714285698"/>
    <n v="6.4655172413793096"/>
    <n v="8"/>
    <n v="2.80217391304347"/>
  </r>
  <r>
    <x v="4"/>
    <d v="2025-02-13T00:00:00"/>
    <s v="Thursday"/>
    <d v="1899-12-30T19:00:00"/>
    <s v="S18"/>
    <n v="97"/>
    <n v="91"/>
    <n v="14.2"/>
    <n v="25"/>
    <s v="East"/>
    <n v="0"/>
    <s v="No Event"/>
    <n v="27"/>
    <n v="24"/>
    <n v="6.7"/>
    <n v="0"/>
    <n v="19"/>
    <n v="2"/>
    <n v="3"/>
    <n v="0"/>
    <s v="Evening Peak"/>
    <n v="0"/>
    <n v="0.88888888888888795"/>
    <n v="1"/>
    <n v="3.88"/>
    <n v="6.83098591549295"/>
    <n v="6"/>
    <n v="8.3255319148936096"/>
  </r>
  <r>
    <x v="5"/>
    <d v="2025-01-05T00:00:00"/>
    <s v="Sunday"/>
    <d v="1899-12-30T11:15:00"/>
    <s v="S16"/>
    <n v="22"/>
    <n v="21"/>
    <n v="12.5"/>
    <n v="22"/>
    <s v="Central"/>
    <n v="0"/>
    <s v="No Event"/>
    <n v="19"/>
    <n v="18"/>
    <n v="4.4000000000000004"/>
    <n v="0"/>
    <n v="11"/>
    <n v="1"/>
    <n v="6"/>
    <n v="1"/>
    <s v="Off-Peak"/>
    <n v="0"/>
    <n v="0.94736842105263097"/>
    <n v="0"/>
    <n v="1"/>
    <n v="1.76"/>
    <n v="1"/>
    <n v="3.4760869565217298"/>
  </r>
  <r>
    <x v="9"/>
    <d v="2025-01-02T00:00:00"/>
    <s v="Thursday"/>
    <d v="1899-12-30T08:00:00"/>
    <s v="S25"/>
    <n v="97"/>
    <n v="91"/>
    <n v="15"/>
    <n v="28"/>
    <s v="North"/>
    <n v="0"/>
    <s v="No Event"/>
    <n v="21"/>
    <n v="18"/>
    <n v="7.9"/>
    <n v="0"/>
    <n v="8"/>
    <n v="1"/>
    <n v="3"/>
    <n v="0"/>
    <s v="Morning Peak"/>
    <n v="0"/>
    <n v="0.85714285714285698"/>
    <n v="1"/>
    <n v="3.46428571428571"/>
    <n v="6.4666666666666597"/>
    <n v="6"/>
    <n v="9.4749999999999996"/>
  </r>
  <r>
    <x v="1"/>
    <d v="2025-01-08T00:00:00"/>
    <s v="Wednesday"/>
    <d v="1899-12-30T09:30:00"/>
    <s v="S01"/>
    <n v="63"/>
    <n v="63"/>
    <n v="9.5"/>
    <n v="17"/>
    <s v="North"/>
    <n v="0"/>
    <s v="No Event"/>
    <n v="24"/>
    <n v="24"/>
    <n v="5.9"/>
    <n v="0"/>
    <n v="9"/>
    <n v="1"/>
    <n v="2"/>
    <n v="0"/>
    <s v="Morning Peak"/>
    <n v="0"/>
    <n v="1"/>
    <n v="1"/>
    <n v="3.70588235294117"/>
    <n v="6.6315789473684204"/>
    <n v="0"/>
    <n v="3.8470588235294101"/>
  </r>
  <r>
    <x v="2"/>
    <d v="2025-01-31T00:00:00"/>
    <s v="Friday"/>
    <d v="1899-12-30T07:45:00"/>
    <s v="S19"/>
    <n v="116"/>
    <n v="102"/>
    <n v="18.399999999999999"/>
    <n v="32"/>
    <s v="East"/>
    <n v="0"/>
    <s v="No Event"/>
    <n v="23"/>
    <n v="21"/>
    <n v="11.4"/>
    <n v="0"/>
    <n v="7"/>
    <n v="1"/>
    <n v="4"/>
    <n v="0"/>
    <s v="Morning Peak"/>
    <n v="0"/>
    <n v="0.91304347826086896"/>
    <n v="1"/>
    <n v="3.625"/>
    <n v="6.3043478260869499"/>
    <n v="14"/>
    <n v="8.6013888888888896"/>
  </r>
  <r>
    <x v="6"/>
    <d v="2025-02-16T00:00:00"/>
    <s v="Sunday"/>
    <d v="1899-12-30T06:15:00"/>
    <s v="S01"/>
    <n v="25"/>
    <n v="23"/>
    <n v="6.8"/>
    <n v="12"/>
    <s v="South"/>
    <n v="0"/>
    <s v="No Event"/>
    <n v="26"/>
    <n v="26"/>
    <n v="1.8"/>
    <n v="0"/>
    <n v="6"/>
    <n v="2"/>
    <n v="6"/>
    <n v="1"/>
    <s v="Off-Peak"/>
    <n v="0"/>
    <n v="1"/>
    <n v="0"/>
    <n v="2.0833333333333299"/>
    <n v="3.6764705882352899"/>
    <n v="2"/>
    <n v="2.7611111111111102"/>
  </r>
  <r>
    <x v="1"/>
    <d v="2025-02-24T00:00:00"/>
    <s v="Monday"/>
    <d v="1899-12-30T16:15:00"/>
    <s v="S20"/>
    <n v="39"/>
    <n v="36"/>
    <n v="9.5"/>
    <n v="17"/>
    <s v="North"/>
    <n v="0"/>
    <s v="No Event"/>
    <n v="23"/>
    <n v="22"/>
    <n v="1.1000000000000001"/>
    <n v="0"/>
    <n v="16"/>
    <n v="2"/>
    <n v="0"/>
    <n v="0"/>
    <s v="Off-Peak"/>
    <n v="0"/>
    <n v="0.95652173913043403"/>
    <n v="0"/>
    <n v="2.2941176470588198"/>
    <n v="4.1052631578947301"/>
    <n v="3"/>
    <n v="3.8470588235294101"/>
  </r>
  <r>
    <x v="9"/>
    <d v="2025-01-30T00:00:00"/>
    <s v="Thursday"/>
    <d v="1899-12-30T18:30:00"/>
    <s v="S14"/>
    <n v="97"/>
    <n v="94"/>
    <n v="15"/>
    <n v="28"/>
    <s v="North"/>
    <n v="0"/>
    <s v="No Event"/>
    <n v="34"/>
    <n v="29"/>
    <n v="9.1"/>
    <n v="1"/>
    <n v="18"/>
    <n v="1"/>
    <n v="3"/>
    <n v="0"/>
    <s v="Evening Peak"/>
    <n v="0"/>
    <n v="0.85294117647058798"/>
    <n v="1"/>
    <n v="3.46428571428571"/>
    <n v="6.4666666666666597"/>
    <n v="3"/>
    <n v="9.4749999999999996"/>
  </r>
  <r>
    <x v="7"/>
    <d v="2025-02-16T00:00:00"/>
    <s v="Sunday"/>
    <d v="1899-12-30T16:00:00"/>
    <s v="S06"/>
    <n v="36"/>
    <n v="35"/>
    <n v="11.6"/>
    <n v="21"/>
    <s v="West"/>
    <n v="0"/>
    <s v="No Event"/>
    <n v="19"/>
    <n v="19"/>
    <n v="2.2000000000000002"/>
    <n v="0"/>
    <n v="16"/>
    <n v="2"/>
    <n v="6"/>
    <n v="1"/>
    <s v="Off-Peak"/>
    <n v="0"/>
    <n v="1"/>
    <n v="0"/>
    <n v="1.71428571428571"/>
    <n v="3.1034482758620601"/>
    <n v="1"/>
    <n v="2.80217391304347"/>
  </r>
  <r>
    <x v="1"/>
    <d v="2025-01-06T00:00:00"/>
    <s v="Monday"/>
    <d v="1899-12-30T09:15:00"/>
    <s v="S07"/>
    <n v="61"/>
    <n v="60"/>
    <n v="9.5"/>
    <n v="17"/>
    <s v="North"/>
    <n v="0"/>
    <s v="No Event"/>
    <n v="27"/>
    <n v="26"/>
    <n v="0.1"/>
    <n v="0"/>
    <n v="9"/>
    <n v="1"/>
    <n v="0"/>
    <n v="0"/>
    <s v="Morning Peak"/>
    <n v="0"/>
    <n v="0.96296296296296202"/>
    <n v="0"/>
    <n v="3.5882352941176401"/>
    <n v="6.4210526315789398"/>
    <n v="1"/>
    <n v="3.8470588235294101"/>
  </r>
  <r>
    <x v="9"/>
    <d v="2025-02-11T00:00:00"/>
    <s v="Tuesday"/>
    <d v="1899-12-30T19:30:00"/>
    <s v="S04"/>
    <n v="115"/>
    <n v="112"/>
    <n v="15"/>
    <n v="28"/>
    <s v="North"/>
    <n v="0"/>
    <s v="No Event"/>
    <n v="26"/>
    <n v="25"/>
    <n v="6.4"/>
    <n v="0"/>
    <n v="19"/>
    <n v="2"/>
    <n v="1"/>
    <n v="0"/>
    <s v="Evening Peak"/>
    <n v="0"/>
    <n v="0.96153846153846101"/>
    <n v="1"/>
    <n v="4.1071428571428497"/>
    <n v="7.6666666666666599"/>
    <n v="3"/>
    <n v="9.4749999999999996"/>
  </r>
  <r>
    <x v="3"/>
    <d v="2025-02-27T00:00:00"/>
    <s v="Thursday"/>
    <d v="1899-12-30T08:45:00"/>
    <s v="S25"/>
    <n v="74"/>
    <n v="66"/>
    <n v="8.1999999999999993"/>
    <n v="15"/>
    <s v="Central"/>
    <n v="0"/>
    <s v="No Event"/>
    <n v="21"/>
    <n v="20"/>
    <n v="5"/>
    <n v="0"/>
    <n v="8"/>
    <n v="2"/>
    <n v="3"/>
    <n v="0"/>
    <s v="Morning Peak"/>
    <n v="0"/>
    <n v="0.952380952380952"/>
    <n v="0"/>
    <n v="4.93333333333333"/>
    <n v="9.0243902439024399"/>
    <n v="8"/>
    <n v="3.6937500000000001"/>
  </r>
  <r>
    <x v="4"/>
    <d v="2025-02-14T00:00:00"/>
    <s v="Friday"/>
    <d v="1899-12-30T13:45:00"/>
    <s v="S01"/>
    <n v="49"/>
    <n v="47"/>
    <n v="14.2"/>
    <n v="25"/>
    <s v="East"/>
    <n v="0"/>
    <s v="No Event"/>
    <n v="26"/>
    <n v="23"/>
    <n v="6.4"/>
    <n v="0"/>
    <n v="13"/>
    <n v="2"/>
    <n v="4"/>
    <n v="0"/>
    <s v="Off-Peak"/>
    <n v="0"/>
    <n v="0.88461538461538403"/>
    <n v="1"/>
    <n v="1.96"/>
    <n v="3.4507042253521099"/>
    <n v="2"/>
    <n v="8.3255319148936096"/>
  </r>
  <r>
    <x v="9"/>
    <d v="2025-01-14T00:00:00"/>
    <s v="Tuesday"/>
    <d v="1899-12-30T17:30:00"/>
    <s v="S12"/>
    <n v="109"/>
    <n v="101"/>
    <n v="15"/>
    <n v="28"/>
    <s v="North"/>
    <n v="1"/>
    <s v="No Event"/>
    <n v="26"/>
    <n v="22"/>
    <n v="2.5"/>
    <n v="0"/>
    <n v="17"/>
    <n v="1"/>
    <n v="1"/>
    <n v="0"/>
    <s v="Evening Peak"/>
    <n v="0"/>
    <n v="0.84615384615384603"/>
    <n v="0"/>
    <n v="3.8928571428571401"/>
    <n v="7.2666666666666604"/>
    <n v="8"/>
    <n v="9.4749999999999996"/>
  </r>
  <r>
    <x v="3"/>
    <d v="2025-01-05T00:00:00"/>
    <s v="Sunday"/>
    <d v="1899-12-30T08:45:00"/>
    <s v="S06"/>
    <n v="52"/>
    <n v="47"/>
    <n v="8.1999999999999993"/>
    <n v="15"/>
    <s v="Central"/>
    <n v="0"/>
    <s v="No Event"/>
    <n v="25"/>
    <n v="25"/>
    <n v="0.5"/>
    <n v="0"/>
    <n v="8"/>
    <n v="1"/>
    <n v="6"/>
    <n v="1"/>
    <s v="Morning Peak"/>
    <n v="0"/>
    <n v="1"/>
    <n v="0"/>
    <n v="3.4666666666666601"/>
    <n v="6.3414634146341404"/>
    <n v="5"/>
    <n v="3.6937500000000001"/>
  </r>
  <r>
    <x v="9"/>
    <d v="2025-01-08T00:00:00"/>
    <s v="Wednesday"/>
    <d v="1899-12-30T06:45:00"/>
    <s v="S04"/>
    <n v="66"/>
    <n v="61"/>
    <n v="15"/>
    <n v="28"/>
    <s v="North"/>
    <n v="0"/>
    <s v="No Event"/>
    <n v="26"/>
    <n v="21"/>
    <n v="13.8"/>
    <n v="0"/>
    <n v="6"/>
    <n v="1"/>
    <n v="2"/>
    <n v="0"/>
    <s v="Off-Peak"/>
    <n v="0"/>
    <n v="0.80769230769230704"/>
    <n v="1"/>
    <n v="2.3571428571428501"/>
    <n v="4.4000000000000004"/>
    <n v="5"/>
    <n v="9.4749999999999996"/>
  </r>
  <r>
    <x v="8"/>
    <d v="2025-02-18T00:00:00"/>
    <s v="Tuesday"/>
    <d v="1899-12-30T07:45:00"/>
    <s v="S11"/>
    <n v="72"/>
    <n v="69"/>
    <n v="7.3"/>
    <n v="13"/>
    <s v="South"/>
    <n v="0"/>
    <s v="No Event"/>
    <n v="27"/>
    <n v="26"/>
    <n v="1"/>
    <n v="0"/>
    <n v="7"/>
    <n v="2"/>
    <n v="1"/>
    <n v="0"/>
    <s v="Morning Peak"/>
    <n v="0"/>
    <n v="0.96296296296296202"/>
    <n v="0"/>
    <n v="5.5384615384615303"/>
    <n v="9.8630136986301302"/>
    <n v="3"/>
    <n v="4.0518518518518496"/>
  </r>
  <r>
    <x v="2"/>
    <d v="2025-01-12T00:00:00"/>
    <s v="Sunday"/>
    <d v="1899-12-30T13:30:00"/>
    <s v="S12"/>
    <n v="43"/>
    <n v="42"/>
    <n v="18.399999999999999"/>
    <n v="32"/>
    <s v="East"/>
    <n v="0"/>
    <s v="No Event"/>
    <n v="21"/>
    <n v="17"/>
    <n v="3.1"/>
    <n v="0"/>
    <n v="13"/>
    <n v="1"/>
    <n v="6"/>
    <n v="1"/>
    <s v="Off-Peak"/>
    <n v="0"/>
    <n v="0.80952380952380898"/>
    <n v="0"/>
    <n v="1.34375"/>
    <n v="2.3369565217391299"/>
    <n v="1"/>
    <n v="8.6013888888888896"/>
  </r>
  <r>
    <x v="5"/>
    <d v="2025-02-03T00:00:00"/>
    <s v="Monday"/>
    <d v="1899-12-30T11:30:00"/>
    <s v="UNKNOWN"/>
    <n v="43"/>
    <n v="41"/>
    <n v="12.5"/>
    <n v="22"/>
    <s v="Central"/>
    <n v="0"/>
    <s v="No Event"/>
    <n v="30"/>
    <n v="30"/>
    <n v="0.3"/>
    <n v="0"/>
    <n v="11"/>
    <n v="2"/>
    <n v="0"/>
    <n v="0"/>
    <s v="Off-Peak"/>
    <n v="0"/>
    <n v="1"/>
    <n v="0"/>
    <n v="1.9545454545454499"/>
    <n v="3.44"/>
    <n v="2"/>
    <n v="3.4760869565217298"/>
  </r>
  <r>
    <x v="4"/>
    <d v="2025-02-14T00:00:00"/>
    <s v="Friday"/>
    <d v="1899-12-30T07:00:00"/>
    <s v="S18"/>
    <n v="93"/>
    <n v="83"/>
    <n v="14.2"/>
    <n v="25"/>
    <s v="East"/>
    <n v="0"/>
    <s v="No Event"/>
    <n v="26"/>
    <n v="23"/>
    <n v="6.4"/>
    <n v="0"/>
    <n v="7"/>
    <n v="2"/>
    <n v="4"/>
    <n v="0"/>
    <s v="Morning Peak"/>
    <n v="0"/>
    <n v="0.88461538461538403"/>
    <n v="1"/>
    <n v="3.72"/>
    <n v="6.5492957746478799"/>
    <n v="10"/>
    <n v="8.3255319148936096"/>
  </r>
  <r>
    <x v="7"/>
    <d v="2025-02-16T00:00:00"/>
    <s v="Sunday"/>
    <d v="1899-12-30T07:15:00"/>
    <s v="S18"/>
    <n v="45"/>
    <n v="42"/>
    <n v="11.6"/>
    <n v="21"/>
    <s v="West"/>
    <n v="0"/>
    <s v="No Event"/>
    <n v="19"/>
    <n v="19"/>
    <n v="2.2000000000000002"/>
    <n v="0"/>
    <n v="7"/>
    <n v="2"/>
    <n v="6"/>
    <n v="1"/>
    <s v="Morning Peak"/>
    <n v="0"/>
    <n v="1"/>
    <n v="0"/>
    <n v="2.1428571428571401"/>
    <n v="3.8793103448275801"/>
    <n v="3"/>
    <n v="2.80217391304347"/>
  </r>
  <r>
    <x v="0"/>
    <d v="2025-01-20T00:00:00"/>
    <s v="Monday"/>
    <d v="1899-12-30T05:15:00"/>
    <s v="S23"/>
    <n v="35"/>
    <n v="31"/>
    <n v="10.1"/>
    <n v="19"/>
    <s v="West"/>
    <n v="0"/>
    <s v="No Event"/>
    <n v="34"/>
    <n v="33"/>
    <n v="3.3"/>
    <n v="0"/>
    <n v="5"/>
    <n v="1"/>
    <n v="0"/>
    <n v="0"/>
    <s v="Off-Peak"/>
    <n v="0"/>
    <n v="0.97058823529411697"/>
    <n v="0"/>
    <n v="1.84210526315789"/>
    <n v="3.46534653465346"/>
    <n v="4"/>
    <n v="3.6613636363636299"/>
  </r>
  <r>
    <x v="0"/>
    <d v="2025-02-27T00:00:00"/>
    <s v="Thursday"/>
    <d v="1899-12-30T15:15:00"/>
    <s v="S12"/>
    <n v="50"/>
    <n v="44"/>
    <n v="10.1"/>
    <n v="19"/>
    <s v="West"/>
    <n v="0"/>
    <s v="No Event"/>
    <n v="30"/>
    <n v="30"/>
    <n v="3.9"/>
    <n v="0"/>
    <n v="15"/>
    <n v="2"/>
    <n v="3"/>
    <n v="0"/>
    <s v="Off-Peak"/>
    <n v="0"/>
    <n v="1"/>
    <n v="0"/>
    <n v="2.6315789473684199"/>
    <n v="4.9504950495049496"/>
    <n v="6"/>
    <n v="3.6613636363636299"/>
  </r>
  <r>
    <x v="4"/>
    <d v="2025-02-15T00:00:00"/>
    <s v="Saturday"/>
    <d v="1899-12-30T08:15:00"/>
    <s v="S23"/>
    <n v="105"/>
    <n v="98"/>
    <n v="14.2"/>
    <n v="25"/>
    <s v="East"/>
    <n v="0"/>
    <s v="Concert"/>
    <n v="30"/>
    <n v="27"/>
    <n v="11.1"/>
    <n v="0"/>
    <n v="8"/>
    <n v="2"/>
    <n v="5"/>
    <n v="1"/>
    <s v="Morning Peak"/>
    <n v="1"/>
    <n v="0.9"/>
    <n v="1"/>
    <n v="4.2"/>
    <n v="7.3943661971830901"/>
    <n v="7"/>
    <n v="8.3255319148936096"/>
  </r>
  <r>
    <x v="0"/>
    <d v="2025-02-05T00:00:00"/>
    <s v="Wednesday"/>
    <d v="1899-12-30T15:45:00"/>
    <s v="S08"/>
    <n v="50"/>
    <n v="47"/>
    <n v="10.1"/>
    <n v="19"/>
    <s v="West"/>
    <n v="0"/>
    <s v="No Event"/>
    <n v="21"/>
    <n v="20"/>
    <n v="1.6"/>
    <n v="0"/>
    <n v="15"/>
    <n v="2"/>
    <n v="2"/>
    <n v="0"/>
    <s v="Off-Peak"/>
    <n v="0"/>
    <n v="0.952380952380952"/>
    <n v="0"/>
    <n v="2.6315789473684199"/>
    <n v="4.9504950495049496"/>
    <n v="3"/>
    <n v="3.6613636363636299"/>
  </r>
  <r>
    <x v="7"/>
    <d v="2025-02-15T00:00:00"/>
    <s v="Saturday"/>
    <d v="1899-12-30T22:15:00"/>
    <s v="S25"/>
    <n v="37"/>
    <n v="34"/>
    <n v="11.6"/>
    <n v="21"/>
    <s v="West"/>
    <n v="0"/>
    <s v="Concert"/>
    <n v="20"/>
    <n v="19"/>
    <n v="3.9"/>
    <n v="0"/>
    <n v="22"/>
    <n v="2"/>
    <n v="5"/>
    <n v="1"/>
    <s v="Off-Peak"/>
    <n v="1"/>
    <n v="0.95"/>
    <n v="0"/>
    <n v="1.7619047619047601"/>
    <n v="3.18965517241379"/>
    <n v="3"/>
    <n v="2.80217391304347"/>
  </r>
  <r>
    <x v="9"/>
    <d v="2025-03-01T00:00:00"/>
    <s v="Saturday"/>
    <d v="1899-12-30T10:30:00"/>
    <s v="S20"/>
    <n v="29"/>
    <n v="27"/>
    <n v="15"/>
    <n v="28"/>
    <s v="North"/>
    <n v="0"/>
    <s v="No Event"/>
    <n v="21"/>
    <n v="20"/>
    <n v="10.6"/>
    <n v="0"/>
    <n v="10"/>
    <n v="3"/>
    <n v="5"/>
    <n v="1"/>
    <s v="Off-Peak"/>
    <n v="0"/>
    <n v="0.952380952380952"/>
    <n v="1"/>
    <n v="1.03571428571428"/>
    <n v="1.93333333333333"/>
    <n v="2"/>
    <n v="9.4749999999999996"/>
  </r>
  <r>
    <x v="8"/>
    <d v="2025-02-04T00:00:00"/>
    <s v="Tuesday"/>
    <d v="1899-12-30T08:45:00"/>
    <s v="S20"/>
    <n v="63"/>
    <n v="57"/>
    <n v="7.3"/>
    <n v="13"/>
    <s v="South"/>
    <n v="0"/>
    <s v="No Event"/>
    <n v="30"/>
    <n v="30"/>
    <n v="3.1"/>
    <n v="0"/>
    <n v="8"/>
    <n v="2"/>
    <n v="1"/>
    <n v="0"/>
    <s v="Morning Peak"/>
    <n v="0"/>
    <n v="1"/>
    <n v="0"/>
    <n v="4.8461538461538396"/>
    <n v="8.6301369863013697"/>
    <n v="6"/>
    <n v="4.0518518518518496"/>
  </r>
  <r>
    <x v="7"/>
    <d v="2025-01-23T00:00:00"/>
    <s v="Thursday"/>
    <d v="1899-12-30T15:30:00"/>
    <s v="S06"/>
    <n v="51"/>
    <n v="44"/>
    <n v="11.6"/>
    <n v="21"/>
    <s v="West"/>
    <n v="0"/>
    <s v="No Event"/>
    <n v="37"/>
    <n v="36"/>
    <n v="7.2"/>
    <n v="0"/>
    <n v="15"/>
    <n v="1"/>
    <n v="3"/>
    <n v="0"/>
    <s v="Off-Peak"/>
    <n v="0"/>
    <n v="0.97297297297297303"/>
    <n v="1"/>
    <n v="2.4285714285714199"/>
    <n v="4.3965517241379297"/>
    <n v="7"/>
    <n v="2.80217391304347"/>
  </r>
  <r>
    <x v="9"/>
    <d v="2025-02-06T00:00:00"/>
    <s v="Thursday"/>
    <d v="1899-12-30T18:15:00"/>
    <s v="S07"/>
    <n v="103"/>
    <n v="90"/>
    <n v="15"/>
    <n v="28"/>
    <s v="North"/>
    <n v="0"/>
    <s v="No Event"/>
    <n v="34"/>
    <n v="32"/>
    <n v="10.3"/>
    <n v="0"/>
    <n v="18"/>
    <n v="2"/>
    <n v="3"/>
    <n v="0"/>
    <s v="Evening Peak"/>
    <n v="0"/>
    <n v="0.94117647058823495"/>
    <n v="1"/>
    <n v="3.6785714285714199"/>
    <n v="6.86666666666666"/>
    <n v="13"/>
    <n v="9.4749999999999996"/>
  </r>
  <r>
    <x v="2"/>
    <d v="2025-01-28T00:00:00"/>
    <s v="Tuesday"/>
    <d v="1899-12-30T07:00:00"/>
    <s v="S19"/>
    <n v="86"/>
    <n v="78"/>
    <n v="18.399999999999999"/>
    <n v="32"/>
    <s v="East"/>
    <n v="0"/>
    <s v="No Event"/>
    <n v="31"/>
    <n v="28"/>
    <n v="3.8"/>
    <n v="0"/>
    <n v="7"/>
    <n v="1"/>
    <n v="1"/>
    <n v="0"/>
    <s v="Morning Peak"/>
    <n v="0"/>
    <n v="0.90322580645161199"/>
    <n v="0"/>
    <n v="2.6875"/>
    <n v="4.6739130434782599"/>
    <n v="8"/>
    <n v="8.6013888888888896"/>
  </r>
  <r>
    <x v="4"/>
    <d v="2025-01-25T00:00:00"/>
    <s v="Saturday"/>
    <d v="1899-12-30T15:00:00"/>
    <s v="S19"/>
    <n v="36"/>
    <n v="31"/>
    <n v="14.2"/>
    <n v="25"/>
    <s v="East"/>
    <n v="0"/>
    <s v="Festival"/>
    <n v="39"/>
    <n v="32"/>
    <n v="10.199999999999999"/>
    <n v="0"/>
    <n v="15"/>
    <n v="1"/>
    <n v="5"/>
    <n v="1"/>
    <s v="Off-Peak"/>
    <n v="1"/>
    <n v="0.82051282051282004"/>
    <n v="1"/>
    <n v="1.44"/>
    <n v="2.53521126760563"/>
    <n v="5"/>
    <n v="8.3255319148936096"/>
  </r>
  <r>
    <x v="5"/>
    <d v="2025-01-19T00:00:00"/>
    <s v="Sunday"/>
    <d v="1899-12-30T06:00:00"/>
    <s v="S20"/>
    <n v="29"/>
    <n v="25"/>
    <n v="12.5"/>
    <n v="22"/>
    <s v="Central"/>
    <n v="0"/>
    <s v="No Event"/>
    <n v="29"/>
    <n v="27"/>
    <n v="2.7"/>
    <n v="1"/>
    <n v="6"/>
    <n v="1"/>
    <n v="6"/>
    <n v="1"/>
    <s v="Off-Peak"/>
    <n v="0"/>
    <n v="0.93103448275862"/>
    <n v="0"/>
    <n v="1.3181818181818099"/>
    <n v="2.3199999999999998"/>
    <n v="4"/>
    <n v="3.4760869565217298"/>
  </r>
  <r>
    <x v="2"/>
    <d v="2025-01-30T00:00:00"/>
    <s v="Thursday"/>
    <d v="1899-12-30T15:45:00"/>
    <s v="S20"/>
    <n v="50"/>
    <n v="45"/>
    <n v="18.399999999999999"/>
    <n v="32"/>
    <s v="East"/>
    <n v="0"/>
    <s v="No Event"/>
    <n v="37"/>
    <n v="32"/>
    <n v="9.8000000000000007"/>
    <n v="0"/>
    <n v="15"/>
    <n v="1"/>
    <n v="3"/>
    <n v="0"/>
    <s v="Off-Peak"/>
    <n v="0"/>
    <n v="0.86486486486486402"/>
    <n v="1"/>
    <n v="1.5625"/>
    <n v="2.7173913043478199"/>
    <n v="5"/>
    <n v="8.6013888888888896"/>
  </r>
  <r>
    <x v="5"/>
    <d v="2025-02-04T00:00:00"/>
    <s v="Tuesday"/>
    <d v="1899-12-30T12:30:00"/>
    <s v="S20"/>
    <n v="42"/>
    <n v="40"/>
    <n v="12.5"/>
    <n v="22"/>
    <s v="Central"/>
    <n v="0"/>
    <s v="No Event"/>
    <n v="22"/>
    <n v="20"/>
    <n v="6"/>
    <n v="0"/>
    <n v="12"/>
    <n v="2"/>
    <n v="1"/>
    <n v="0"/>
    <s v="Off-Peak"/>
    <n v="0"/>
    <n v="0.90909090909090895"/>
    <n v="1"/>
    <n v="1.9090909090909001"/>
    <n v="3.36"/>
    <n v="2"/>
    <n v="3.4760869565217298"/>
  </r>
  <r>
    <x v="2"/>
    <d v="2025-02-06T00:00:00"/>
    <s v="Thursday"/>
    <d v="1899-12-30T07:45:00"/>
    <s v="S09"/>
    <n v="98"/>
    <n v="92"/>
    <n v="18.399999999999999"/>
    <n v="32"/>
    <s v="East"/>
    <n v="0"/>
    <s v="No Event"/>
    <n v="23"/>
    <n v="21"/>
    <n v="9.1999999999999993"/>
    <n v="0"/>
    <n v="7"/>
    <n v="2"/>
    <n v="3"/>
    <n v="0"/>
    <s v="Morning Peak"/>
    <n v="0"/>
    <n v="0.91304347826086896"/>
    <n v="1"/>
    <n v="3.0625"/>
    <n v="5.3260869565217304"/>
    <n v="6"/>
    <n v="8.6013888888888896"/>
  </r>
  <r>
    <x v="3"/>
    <d v="2025-01-01T00:00:00"/>
    <s v="Wednesday"/>
    <d v="1899-12-30T15:30:00"/>
    <s v="S15"/>
    <n v="50"/>
    <n v="47"/>
    <n v="8.1999999999999993"/>
    <n v="15"/>
    <s v="Central"/>
    <n v="1"/>
    <s v="No Event"/>
    <n v="30"/>
    <n v="29"/>
    <n v="13.6"/>
    <n v="0"/>
    <n v="15"/>
    <n v="1"/>
    <n v="2"/>
    <n v="0"/>
    <s v="Off-Peak"/>
    <n v="0"/>
    <n v="0.96666666666666601"/>
    <n v="1"/>
    <n v="3.3333333333333299"/>
    <n v="6.09756097560975"/>
    <n v="3"/>
    <n v="3.6937500000000001"/>
  </r>
  <r>
    <x v="0"/>
    <d v="2025-01-27T00:00:00"/>
    <s v="Monday"/>
    <d v="1899-12-30T14:30:00"/>
    <s v="S25"/>
    <n v="44"/>
    <n v="42"/>
    <n v="10.1"/>
    <n v="19"/>
    <s v="West"/>
    <n v="0"/>
    <s v="No Event"/>
    <n v="34"/>
    <n v="33"/>
    <n v="0.7"/>
    <n v="0"/>
    <n v="14"/>
    <n v="1"/>
    <n v="0"/>
    <n v="0"/>
    <s v="Off-Peak"/>
    <n v="0"/>
    <n v="0.97058823529411697"/>
    <n v="0"/>
    <n v="2.3157894736842102"/>
    <n v="4.3564356435643496"/>
    <n v="2"/>
    <n v="3.6613636363636299"/>
  </r>
  <r>
    <x v="9"/>
    <d v="2025-01-22T00:00:00"/>
    <s v="Wednesday"/>
    <d v="1899-12-30T22:30:00"/>
    <s v="S19"/>
    <n v="58"/>
    <n v="56"/>
    <n v="15"/>
    <n v="28"/>
    <s v="North"/>
    <n v="0"/>
    <s v="No Event"/>
    <n v="33"/>
    <n v="27"/>
    <n v="4.2"/>
    <n v="0"/>
    <n v="22"/>
    <n v="1"/>
    <n v="2"/>
    <n v="0"/>
    <s v="Off-Peak"/>
    <n v="0"/>
    <n v="0.81818181818181801"/>
    <n v="0"/>
    <n v="2.0714285714285698"/>
    <n v="3.86666666666666"/>
    <n v="2"/>
    <n v="9.4749999999999996"/>
  </r>
  <r>
    <x v="5"/>
    <d v="2025-02-02T00:00:00"/>
    <s v="Sunday"/>
    <d v="1899-12-30T16:45:00"/>
    <s v="S22"/>
    <n v="31"/>
    <n v="30"/>
    <n v="12.5"/>
    <n v="22"/>
    <s v="Central"/>
    <n v="0"/>
    <s v="No Event"/>
    <n v="22"/>
    <n v="21"/>
    <n v="2.2999999999999998"/>
    <n v="0"/>
    <n v="16"/>
    <n v="2"/>
    <n v="6"/>
    <n v="1"/>
    <s v="Off-Peak"/>
    <n v="0"/>
    <n v="0.95454545454545403"/>
    <n v="0"/>
    <n v="1.4090909090909001"/>
    <n v="2.48"/>
    <n v="1"/>
    <n v="3.4760869565217298"/>
  </r>
  <r>
    <x v="7"/>
    <d v="2025-01-21T00:00:00"/>
    <s v="Tuesday"/>
    <d v="1899-12-30T10:15:00"/>
    <s v="S05"/>
    <n v="43"/>
    <n v="43"/>
    <n v="11.6"/>
    <n v="21"/>
    <s v="West"/>
    <n v="0"/>
    <s v="No Event"/>
    <n v="22"/>
    <n v="21"/>
    <n v="0.5"/>
    <n v="0"/>
    <n v="10"/>
    <n v="1"/>
    <n v="1"/>
    <n v="0"/>
    <s v="Off-Peak"/>
    <n v="0"/>
    <n v="0.95454545454545403"/>
    <n v="0"/>
    <n v="2.0476190476190399"/>
    <n v="3.7068965517241299"/>
    <n v="0"/>
    <n v="2.80217391304347"/>
  </r>
  <r>
    <x v="5"/>
    <d v="2025-02-24T00:00:00"/>
    <s v="Monday"/>
    <d v="1899-12-30T12:00:00"/>
    <s v="S07"/>
    <n v="50"/>
    <n v="45"/>
    <n v="12.5"/>
    <n v="22"/>
    <s v="Central"/>
    <n v="0"/>
    <s v="No Event"/>
    <n v="21"/>
    <n v="20"/>
    <n v="3.5"/>
    <n v="0"/>
    <n v="12"/>
    <n v="2"/>
    <n v="0"/>
    <n v="0"/>
    <s v="Off-Peak"/>
    <n v="0"/>
    <n v="0.952380952380952"/>
    <n v="0"/>
    <n v="2.2727272727272698"/>
    <n v="4"/>
    <n v="5"/>
    <n v="3.4760869565217298"/>
  </r>
  <r>
    <x v="0"/>
    <d v="2025-02-14T00:00:00"/>
    <s v="Friday"/>
    <d v="1899-12-30T16:45:00"/>
    <s v="S18"/>
    <n v="49"/>
    <n v="44"/>
    <n v="10.1"/>
    <n v="19"/>
    <s v="West"/>
    <n v="0"/>
    <s v="No Event"/>
    <n v="29"/>
    <n v="29"/>
    <n v="3.3"/>
    <n v="1"/>
    <n v="16"/>
    <n v="2"/>
    <n v="4"/>
    <n v="0"/>
    <s v="Off-Peak"/>
    <n v="0"/>
    <n v="1"/>
    <n v="0"/>
    <n v="2.57894736842105"/>
    <n v="4.8514851485148496"/>
    <n v="5"/>
    <n v="3.6613636363636299"/>
  </r>
  <r>
    <x v="7"/>
    <d v="2025-02-24T00:00:00"/>
    <s v="Monday"/>
    <d v="1899-12-30T08:15:00"/>
    <s v="S23"/>
    <n v="72"/>
    <n v="67"/>
    <n v="11.6"/>
    <n v="21"/>
    <s v="West"/>
    <n v="0"/>
    <s v="No Event"/>
    <n v="30"/>
    <n v="29"/>
    <n v="4.5"/>
    <n v="0"/>
    <n v="8"/>
    <n v="2"/>
    <n v="0"/>
    <n v="0"/>
    <s v="Morning Peak"/>
    <n v="0"/>
    <n v="0.96666666666666601"/>
    <n v="0"/>
    <n v="3.4285714285714199"/>
    <n v="6.2068965517241299"/>
    <n v="5"/>
    <n v="2.80217391304347"/>
  </r>
  <r>
    <x v="4"/>
    <d v="2025-02-18T00:00:00"/>
    <s v="Tuesday"/>
    <d v="1899-12-30T08:45:00"/>
    <s v="UNKNOWN"/>
    <n v="104"/>
    <n v="89"/>
    <n v="14.2"/>
    <n v="25"/>
    <s v="East"/>
    <n v="0"/>
    <s v="No Event"/>
    <n v="23"/>
    <n v="20"/>
    <n v="2.2999999999999998"/>
    <n v="0"/>
    <n v="8"/>
    <n v="2"/>
    <n v="1"/>
    <n v="0"/>
    <s v="Morning Peak"/>
    <n v="0"/>
    <n v="0.86956521739130399"/>
    <n v="0"/>
    <n v="4.16"/>
    <n v="7.3239436619718301"/>
    <n v="15"/>
    <n v="8.3255319148936096"/>
  </r>
  <r>
    <x v="4"/>
    <d v="2025-02-20T00:00:00"/>
    <s v="Thursday"/>
    <d v="1899-12-30T08:15:00"/>
    <s v="S07"/>
    <n v="88"/>
    <n v="85"/>
    <n v="14.2"/>
    <n v="25"/>
    <s v="East"/>
    <n v="0"/>
    <s v="No Event"/>
    <n v="20"/>
    <n v="17"/>
    <n v="6.6"/>
    <n v="0"/>
    <n v="8"/>
    <n v="2"/>
    <n v="3"/>
    <n v="0"/>
    <s v="Morning Peak"/>
    <n v="0"/>
    <n v="0.85"/>
    <n v="1"/>
    <n v="3.52"/>
    <n v="6.1971830985915499"/>
    <n v="3"/>
    <n v="8.3255319148936096"/>
  </r>
  <r>
    <x v="8"/>
    <d v="2025-02-19T00:00:00"/>
    <s v="Wednesday"/>
    <d v="1899-12-30T17:30:00"/>
    <s v="S19"/>
    <n v="69"/>
    <n v="69"/>
    <n v="7.3"/>
    <n v="13"/>
    <s v="South"/>
    <n v="0"/>
    <s v="No Event"/>
    <n v="37"/>
    <n v="36"/>
    <n v="10.4"/>
    <n v="0"/>
    <n v="17"/>
    <n v="2"/>
    <n v="2"/>
    <n v="0"/>
    <s v="Evening Peak"/>
    <n v="0"/>
    <n v="0.97297297297297303"/>
    <n v="1"/>
    <n v="5.3076923076923004"/>
    <n v="9.4520547945205404"/>
    <n v="0"/>
    <n v="4.0518518518518496"/>
  </r>
  <r>
    <x v="0"/>
    <d v="2025-02-16T00:00:00"/>
    <s v="Sunday"/>
    <d v="1899-12-30T20:00:00"/>
    <s v="S03"/>
    <n v="23"/>
    <n v="21"/>
    <n v="10.1"/>
    <n v="19"/>
    <s v="West"/>
    <n v="0"/>
    <s v="No Event"/>
    <n v="34"/>
    <n v="33"/>
    <n v="13.8"/>
    <n v="0"/>
    <n v="20"/>
    <n v="2"/>
    <n v="6"/>
    <n v="1"/>
    <s v="Off-Peak"/>
    <n v="0"/>
    <n v="0.97058823529411697"/>
    <n v="1"/>
    <n v="1.2105263157894699"/>
    <n v="2.2772277227722699"/>
    <n v="2"/>
    <n v="3.6613636363636299"/>
  </r>
  <r>
    <x v="4"/>
    <d v="2025-01-26T00:00:00"/>
    <s v="Sunday"/>
    <d v="1899-12-30T08:45:00"/>
    <s v="S16"/>
    <n v="51"/>
    <n v="46"/>
    <n v="14.2"/>
    <n v="25"/>
    <s v="East"/>
    <n v="1"/>
    <s v="No Event"/>
    <n v="39"/>
    <n v="35"/>
    <n v="3.9"/>
    <n v="0"/>
    <n v="8"/>
    <n v="1"/>
    <n v="6"/>
    <n v="1"/>
    <s v="Morning Peak"/>
    <n v="0"/>
    <n v="0.89743589743589702"/>
    <n v="0"/>
    <n v="2.04"/>
    <n v="3.59154929577464"/>
    <n v="5"/>
    <n v="8.3255319148936096"/>
  </r>
  <r>
    <x v="5"/>
    <d v="2025-01-15T00:00:00"/>
    <s v="Wednesday"/>
    <d v="1899-12-30T06:45:00"/>
    <s v="S07"/>
    <n v="41"/>
    <n v="41"/>
    <n v="12.5"/>
    <n v="22"/>
    <s v="Central"/>
    <n v="0"/>
    <s v="No Event"/>
    <n v="25"/>
    <n v="24"/>
    <n v="2.7"/>
    <n v="1"/>
    <n v="6"/>
    <n v="1"/>
    <n v="2"/>
    <n v="0"/>
    <s v="Off-Peak"/>
    <n v="0"/>
    <n v="0.96"/>
    <n v="0"/>
    <n v="1.86363636363636"/>
    <n v="3.28"/>
    <n v="0"/>
    <n v="3.4760869565217298"/>
  </r>
  <r>
    <x v="2"/>
    <d v="2025-02-28T00:00:00"/>
    <s v="Friday"/>
    <d v="1899-12-30T17:00:00"/>
    <s v="S25"/>
    <n v="107"/>
    <n v="100"/>
    <n v="18.399999999999999"/>
    <n v="32"/>
    <s v="East"/>
    <n v="0"/>
    <s v="No Event"/>
    <n v="23"/>
    <n v="20"/>
    <n v="11"/>
    <n v="0"/>
    <n v="17"/>
    <n v="2"/>
    <n v="4"/>
    <n v="0"/>
    <s v="Evening Peak"/>
    <n v="0"/>
    <n v="0.86956521739130399"/>
    <n v="1"/>
    <n v="3.34375"/>
    <n v="5.8152173913043397"/>
    <n v="7"/>
    <n v="8.6013888888888896"/>
  </r>
  <r>
    <x v="1"/>
    <d v="2025-01-01T00:00:00"/>
    <s v="Wednesday"/>
    <d v="1899-12-30T17:15:00"/>
    <s v="S09"/>
    <n v="71"/>
    <n v="63"/>
    <n v="9.5"/>
    <n v="17"/>
    <s v="North"/>
    <n v="1"/>
    <s v="No Event"/>
    <n v="18"/>
    <n v="17"/>
    <n v="4.5"/>
    <n v="0"/>
    <n v="17"/>
    <n v="1"/>
    <n v="2"/>
    <n v="0"/>
    <s v="Evening Peak"/>
    <n v="0"/>
    <n v="0.94444444444444398"/>
    <n v="0"/>
    <n v="4.1764705882352899"/>
    <n v="7.4736842105263097"/>
    <n v="8"/>
    <n v="3.8470588235294101"/>
  </r>
  <r>
    <x v="8"/>
    <d v="2025-01-26T00:00:00"/>
    <s v="Sunday"/>
    <d v="1899-12-30T15:45:00"/>
    <s v="S20"/>
    <n v="22"/>
    <n v="22"/>
    <n v="7.3"/>
    <n v="13"/>
    <s v="South"/>
    <n v="1"/>
    <s v="No Event"/>
    <n v="22"/>
    <n v="21"/>
    <n v="4.9000000000000004"/>
    <n v="0"/>
    <n v="15"/>
    <n v="1"/>
    <n v="6"/>
    <n v="1"/>
    <s v="Off-Peak"/>
    <n v="0"/>
    <n v="0.95454545454545403"/>
    <n v="0"/>
    <n v="1.6923076923076901"/>
    <n v="3.0136986301369801"/>
    <n v="0"/>
    <n v="4.0518518518518496"/>
  </r>
  <r>
    <x v="1"/>
    <d v="2025-02-20T00:00:00"/>
    <s v="Thursday"/>
    <d v="1899-12-30T17:30:00"/>
    <s v="S25"/>
    <n v="79"/>
    <n v="69"/>
    <n v="9.5"/>
    <n v="17"/>
    <s v="North"/>
    <n v="0"/>
    <s v="No Event"/>
    <n v="22"/>
    <n v="21"/>
    <n v="8.1999999999999993"/>
    <n v="0"/>
    <n v="17"/>
    <n v="2"/>
    <n v="3"/>
    <n v="0"/>
    <s v="Evening Peak"/>
    <n v="0"/>
    <n v="0.95454545454545403"/>
    <n v="1"/>
    <n v="4.6470588235294104"/>
    <n v="8.3157894736842106"/>
    <n v="10"/>
    <n v="3.8470588235294101"/>
  </r>
  <r>
    <x v="3"/>
    <d v="2025-02-24T00:00:00"/>
    <s v="Monday"/>
    <d v="1899-12-30T17:00:00"/>
    <s v="UNKNOWN"/>
    <n v="56"/>
    <n v="53"/>
    <n v="8.1999999999999993"/>
    <n v="15"/>
    <s v="Central"/>
    <n v="0"/>
    <s v="No Event"/>
    <n v="27"/>
    <n v="27"/>
    <n v="6.5"/>
    <n v="0"/>
    <n v="17"/>
    <n v="2"/>
    <n v="0"/>
    <n v="0"/>
    <s v="Evening Peak"/>
    <n v="0"/>
    <n v="1"/>
    <n v="1"/>
    <n v="3.7333333333333298"/>
    <n v="6.8292682926829196"/>
    <n v="3"/>
    <n v="3.6937500000000001"/>
  </r>
  <r>
    <x v="2"/>
    <d v="2025-02-07T00:00:00"/>
    <s v="Friday"/>
    <d v="1899-12-30T07:15:00"/>
    <s v="S19"/>
    <n v="120"/>
    <n v="113"/>
    <n v="18.399999999999999"/>
    <n v="32"/>
    <s v="East"/>
    <n v="0"/>
    <s v="No Event"/>
    <n v="36"/>
    <n v="29"/>
    <n v="8.3000000000000007"/>
    <n v="0"/>
    <n v="7"/>
    <n v="2"/>
    <n v="4"/>
    <n v="0"/>
    <s v="Morning Peak"/>
    <n v="0"/>
    <n v="0.80555555555555503"/>
    <n v="1"/>
    <n v="3.75"/>
    <n v="6.5217391304347796"/>
    <n v="7"/>
    <n v="8.6013888888888896"/>
  </r>
  <r>
    <x v="5"/>
    <d v="2025-02-25T00:00:00"/>
    <s v="Tuesday"/>
    <d v="1899-12-30T08:00:00"/>
    <s v="S16"/>
    <n v="82"/>
    <n v="71"/>
    <n v="12.5"/>
    <n v="22"/>
    <s v="Central"/>
    <n v="0"/>
    <s v="No Event"/>
    <n v="28"/>
    <n v="28"/>
    <n v="4.5"/>
    <n v="0"/>
    <n v="8"/>
    <n v="2"/>
    <n v="1"/>
    <n v="0"/>
    <s v="Morning Peak"/>
    <n v="0"/>
    <n v="1"/>
    <n v="0"/>
    <n v="3.72727272727272"/>
    <n v="6.56"/>
    <n v="11"/>
    <n v="3.4760869565217298"/>
  </r>
  <r>
    <x v="5"/>
    <d v="2025-01-05T00:00:00"/>
    <s v="Sunday"/>
    <d v="1899-12-30T19:45:00"/>
    <s v="S06"/>
    <n v="57"/>
    <n v="55"/>
    <n v="12.5"/>
    <n v="22"/>
    <s v="Central"/>
    <n v="0"/>
    <s v="No Event"/>
    <n v="19"/>
    <n v="18"/>
    <n v="4.4000000000000004"/>
    <n v="0"/>
    <n v="19"/>
    <n v="1"/>
    <n v="6"/>
    <n v="1"/>
    <s v="Evening Peak"/>
    <n v="0"/>
    <n v="0.94736842105263097"/>
    <n v="0"/>
    <n v="2.5909090909090899"/>
    <n v="4.5599999999999996"/>
    <n v="2"/>
    <n v="3.4760869565217298"/>
  </r>
  <r>
    <x v="7"/>
    <d v="2025-02-01T00:00:00"/>
    <s v="Saturday"/>
    <d v="1899-12-30T15:45:00"/>
    <s v="S23"/>
    <n v="30"/>
    <n v="28"/>
    <n v="11.6"/>
    <n v="21"/>
    <s v="West"/>
    <n v="0"/>
    <s v="No Event"/>
    <n v="39"/>
    <n v="36"/>
    <n v="2"/>
    <n v="0"/>
    <n v="15"/>
    <n v="2"/>
    <n v="5"/>
    <n v="1"/>
    <s v="Off-Peak"/>
    <n v="0"/>
    <n v="0.92307692307692302"/>
    <n v="0"/>
    <n v="1.4285714285714199"/>
    <n v="2.5862068965517202"/>
    <n v="2"/>
    <n v="2.80217391304347"/>
  </r>
  <r>
    <x v="0"/>
    <d v="2025-01-26T00:00:00"/>
    <s v="Sunday"/>
    <d v="1899-12-30T07:00:00"/>
    <s v="S16"/>
    <n v="37"/>
    <n v="35"/>
    <n v="10.1"/>
    <n v="19"/>
    <s v="West"/>
    <n v="1"/>
    <s v="No Event"/>
    <n v="24"/>
    <n v="24"/>
    <n v="3.3"/>
    <n v="1"/>
    <n v="7"/>
    <n v="1"/>
    <n v="6"/>
    <n v="1"/>
    <s v="Morning Peak"/>
    <n v="0"/>
    <n v="1"/>
    <n v="0"/>
    <n v="1.9473684210526301"/>
    <n v="3.66336633663366"/>
    <n v="2"/>
    <n v="3.6613636363636299"/>
  </r>
  <r>
    <x v="2"/>
    <d v="2025-01-04T00:00:00"/>
    <s v="Saturday"/>
    <d v="1899-12-30T08:30:00"/>
    <s v="S23"/>
    <n v="84"/>
    <n v="84"/>
    <n v="18.399999999999999"/>
    <n v="32"/>
    <s v="East"/>
    <n v="0"/>
    <s v="No Event"/>
    <n v="26"/>
    <n v="24"/>
    <n v="2.9"/>
    <n v="0"/>
    <n v="8"/>
    <n v="1"/>
    <n v="5"/>
    <n v="1"/>
    <s v="Morning Peak"/>
    <n v="0"/>
    <n v="0.92307692307692302"/>
    <n v="0"/>
    <n v="2.625"/>
    <n v="4.5652173913043397"/>
    <n v="0"/>
    <n v="8.6013888888888896"/>
  </r>
  <r>
    <x v="4"/>
    <d v="2025-02-17T00:00:00"/>
    <s v="Monday"/>
    <d v="1899-12-30T16:15:00"/>
    <s v="S20"/>
    <n v="45"/>
    <n v="40"/>
    <n v="14.2"/>
    <n v="25"/>
    <s v="East"/>
    <n v="0"/>
    <s v="No Event"/>
    <n v="38"/>
    <n v="34"/>
    <n v="6.6"/>
    <n v="0"/>
    <n v="16"/>
    <n v="2"/>
    <n v="0"/>
    <n v="0"/>
    <s v="Off-Peak"/>
    <n v="0"/>
    <n v="0.89473684210526305"/>
    <n v="1"/>
    <n v="1.8"/>
    <n v="3.1690140845070398"/>
    <n v="5"/>
    <n v="8.3255319148936096"/>
  </r>
  <r>
    <x v="2"/>
    <d v="2025-01-20T00:00:00"/>
    <s v="Monday"/>
    <d v="1899-12-30T06:15:00"/>
    <s v="S10"/>
    <n v="62"/>
    <n v="55"/>
    <n v="18.399999999999999"/>
    <n v="32"/>
    <s v="East"/>
    <n v="0"/>
    <s v="No Event"/>
    <n v="21"/>
    <n v="18"/>
    <n v="8.8000000000000007"/>
    <n v="1"/>
    <n v="6"/>
    <n v="1"/>
    <n v="0"/>
    <n v="0"/>
    <s v="Off-Peak"/>
    <n v="0"/>
    <n v="0.85714285714285698"/>
    <n v="1"/>
    <n v="1.9375"/>
    <n v="3.3695652173913002"/>
    <n v="7"/>
    <n v="8.6013888888888896"/>
  </r>
  <r>
    <x v="6"/>
    <d v="2025-02-06T00:00:00"/>
    <s v="Thursday"/>
    <d v="1899-12-30T07:00:00"/>
    <s v="S20"/>
    <n v="55"/>
    <n v="51"/>
    <n v="6.8"/>
    <n v="12"/>
    <s v="South"/>
    <n v="0"/>
    <s v="No Event"/>
    <n v="29"/>
    <n v="28"/>
    <n v="6.4"/>
    <n v="0"/>
    <n v="7"/>
    <n v="2"/>
    <n v="3"/>
    <n v="0"/>
    <s v="Morning Peak"/>
    <n v="0"/>
    <n v="0.96551724137931005"/>
    <n v="1"/>
    <n v="4.5833333333333304"/>
    <n v="8.0882352941176396"/>
    <n v="4"/>
    <n v="2.7611111111111102"/>
  </r>
  <r>
    <x v="2"/>
    <d v="2025-02-24T00:00:00"/>
    <s v="Monday"/>
    <d v="1899-12-30T12:45:00"/>
    <s v="S06"/>
    <n v="57"/>
    <n v="50"/>
    <n v="18.399999999999999"/>
    <n v="32"/>
    <s v="East"/>
    <n v="0"/>
    <s v="No Event"/>
    <n v="30"/>
    <n v="28"/>
    <n v="18.8"/>
    <n v="0"/>
    <n v="12"/>
    <n v="2"/>
    <n v="0"/>
    <n v="0"/>
    <s v="Off-Peak"/>
    <n v="0"/>
    <n v="0.93333333333333302"/>
    <n v="1"/>
    <n v="1.78125"/>
    <n v="3.0978260869565202"/>
    <n v="7"/>
    <n v="8.6013888888888896"/>
  </r>
  <r>
    <x v="9"/>
    <d v="2025-01-30T00:00:00"/>
    <s v="Thursday"/>
    <d v="1899-12-30T16:15:00"/>
    <s v="S12"/>
    <n v="54"/>
    <n v="51"/>
    <n v="15"/>
    <n v="28"/>
    <s v="North"/>
    <n v="0"/>
    <s v="No Event"/>
    <n v="34"/>
    <n v="29"/>
    <n v="9.1"/>
    <n v="1"/>
    <n v="16"/>
    <n v="1"/>
    <n v="3"/>
    <n v="0"/>
    <s v="Off-Peak"/>
    <n v="0"/>
    <n v="0.85294117647058798"/>
    <n v="1"/>
    <n v="1.9285714285714199"/>
    <n v="3.6"/>
    <n v="3"/>
    <n v="9.4749999999999996"/>
  </r>
  <r>
    <x v="9"/>
    <d v="2025-01-06T00:00:00"/>
    <s v="Monday"/>
    <d v="1899-12-30T07:30:00"/>
    <s v="S23"/>
    <n v="90"/>
    <n v="80"/>
    <n v="15"/>
    <n v="28"/>
    <s v="North"/>
    <n v="0"/>
    <s v="No Event"/>
    <n v="22"/>
    <n v="18"/>
    <n v="6.1"/>
    <n v="0"/>
    <n v="7"/>
    <n v="1"/>
    <n v="0"/>
    <n v="0"/>
    <s v="Morning Peak"/>
    <n v="0"/>
    <n v="0.81818181818181801"/>
    <n v="1"/>
    <n v="3.21428571428571"/>
    <n v="6"/>
    <n v="10"/>
    <n v="9.4749999999999996"/>
  </r>
  <r>
    <x v="3"/>
    <d v="2025-01-16T00:00:00"/>
    <s v="Thursday"/>
    <d v="1899-12-30T16:45:00"/>
    <s v="S07"/>
    <n v="43"/>
    <n v="42"/>
    <n v="8.1999999999999993"/>
    <n v="15"/>
    <s v="Central"/>
    <n v="0"/>
    <s v="No Event"/>
    <n v="33"/>
    <n v="32"/>
    <n v="6.7"/>
    <n v="0"/>
    <n v="16"/>
    <n v="1"/>
    <n v="3"/>
    <n v="0"/>
    <s v="Off-Peak"/>
    <n v="0"/>
    <n v="0.96969696969696895"/>
    <n v="1"/>
    <n v="2.86666666666666"/>
    <n v="5.2439024390243896"/>
    <n v="1"/>
    <n v="3.6937500000000001"/>
  </r>
  <r>
    <x v="9"/>
    <d v="2025-02-11T00:00:00"/>
    <s v="Tuesday"/>
    <d v="1899-12-30T08:30:00"/>
    <s v="S23"/>
    <n v="75"/>
    <n v="65"/>
    <n v="15"/>
    <n v="28"/>
    <s v="North"/>
    <n v="0"/>
    <s v="No Event"/>
    <n v="26"/>
    <n v="25"/>
    <n v="6.4"/>
    <n v="0"/>
    <n v="8"/>
    <n v="2"/>
    <n v="1"/>
    <n v="0"/>
    <s v="Morning Peak"/>
    <n v="0"/>
    <n v="0.96153846153846101"/>
    <n v="1"/>
    <n v="2.6785714285714199"/>
    <n v="5"/>
    <n v="10"/>
    <n v="9.4749999999999996"/>
  </r>
  <r>
    <x v="4"/>
    <d v="2025-02-08T00:00:00"/>
    <s v="Saturday"/>
    <d v="1899-12-30T09:00:00"/>
    <s v="S14"/>
    <n v="107"/>
    <n v="104"/>
    <n v="14.2"/>
    <n v="25"/>
    <s v="East"/>
    <n v="0"/>
    <s v="Cricket Match"/>
    <n v="34"/>
    <n v="30"/>
    <n v="14.8"/>
    <n v="0"/>
    <n v="9"/>
    <n v="2"/>
    <n v="5"/>
    <n v="1"/>
    <s v="Morning Peak"/>
    <n v="1"/>
    <n v="0.88235294117647001"/>
    <n v="1"/>
    <n v="4.28"/>
    <n v="7.5352112676056304"/>
    <n v="3"/>
    <n v="8.3255319148936096"/>
  </r>
  <r>
    <x v="3"/>
    <d v="2025-01-30T00:00:00"/>
    <s v="Thursday"/>
    <d v="1899-12-30T17:45:00"/>
    <s v="S16"/>
    <n v="62"/>
    <n v="61"/>
    <n v="8.1999999999999993"/>
    <n v="15"/>
    <s v="Central"/>
    <n v="0"/>
    <s v="No Event"/>
    <n v="24"/>
    <n v="24"/>
    <n v="0.9"/>
    <n v="0"/>
    <n v="17"/>
    <n v="1"/>
    <n v="3"/>
    <n v="0"/>
    <s v="Evening Peak"/>
    <n v="0"/>
    <n v="1"/>
    <n v="0"/>
    <n v="4.1333333333333302"/>
    <n v="7.5609756097560901"/>
    <n v="1"/>
    <n v="3.6937500000000001"/>
  </r>
  <r>
    <x v="9"/>
    <d v="2025-02-18T00:00:00"/>
    <s v="Tuesday"/>
    <d v="1899-12-30T15:00:00"/>
    <s v="S20"/>
    <n v="57"/>
    <n v="52"/>
    <n v="15"/>
    <n v="28"/>
    <s v="North"/>
    <n v="0"/>
    <s v="No Event"/>
    <n v="32"/>
    <n v="26"/>
    <n v="7.9"/>
    <n v="0"/>
    <n v="15"/>
    <n v="2"/>
    <n v="1"/>
    <n v="0"/>
    <s v="Off-Peak"/>
    <n v="0"/>
    <n v="0.8125"/>
    <n v="1"/>
    <n v="2.0357142857142798"/>
    <n v="3.8"/>
    <n v="5"/>
    <n v="9.4749999999999996"/>
  </r>
  <r>
    <x v="0"/>
    <d v="2025-02-17T00:00:00"/>
    <s v="Monday"/>
    <d v="1899-12-30T16:15:00"/>
    <s v="S16"/>
    <n v="44"/>
    <n v="41"/>
    <n v="10.1"/>
    <n v="19"/>
    <s v="West"/>
    <n v="0"/>
    <s v="No Event"/>
    <n v="28"/>
    <n v="26"/>
    <n v="3.3"/>
    <n v="1"/>
    <n v="16"/>
    <n v="2"/>
    <n v="0"/>
    <n v="0"/>
    <s v="Off-Peak"/>
    <n v="0"/>
    <n v="0.92857142857142805"/>
    <n v="0"/>
    <n v="2.3157894736842102"/>
    <n v="4.3564356435643496"/>
    <n v="3"/>
    <n v="3.6613636363636299"/>
  </r>
  <r>
    <x v="2"/>
    <d v="2025-02-16T00:00:00"/>
    <s v="Sunday"/>
    <d v="1899-12-30T05:00:00"/>
    <s v="S01"/>
    <n v="42"/>
    <n v="39"/>
    <n v="18.399999999999999"/>
    <n v="32"/>
    <s v="East"/>
    <n v="0"/>
    <s v="No Event"/>
    <n v="25"/>
    <n v="23"/>
    <n v="9.4"/>
    <n v="0"/>
    <n v="5"/>
    <n v="2"/>
    <n v="6"/>
    <n v="1"/>
    <s v="Off-Peak"/>
    <n v="0"/>
    <n v="0.92"/>
    <n v="1"/>
    <n v="1.3125"/>
    <n v="2.2826086956521698"/>
    <n v="3"/>
    <n v="8.6013888888888896"/>
  </r>
  <r>
    <x v="3"/>
    <d v="2025-01-31T00:00:00"/>
    <s v="Friday"/>
    <d v="1899-12-30T22:15:00"/>
    <s v="S20"/>
    <n v="42"/>
    <n v="38"/>
    <n v="8.1999999999999993"/>
    <n v="15"/>
    <s v="Central"/>
    <n v="0"/>
    <s v="No Event"/>
    <n v="27"/>
    <n v="27"/>
    <n v="3.5"/>
    <n v="0"/>
    <n v="22"/>
    <n v="1"/>
    <n v="4"/>
    <n v="0"/>
    <s v="Off-Peak"/>
    <n v="0"/>
    <n v="1"/>
    <n v="0"/>
    <n v="2.8"/>
    <n v="5.1219512195121899"/>
    <n v="4"/>
    <n v="3.6937500000000001"/>
  </r>
  <r>
    <x v="3"/>
    <d v="2025-01-22T00:00:00"/>
    <s v="Wednesday"/>
    <d v="1899-12-30T15:15:00"/>
    <s v="S19"/>
    <n v="30"/>
    <n v="26"/>
    <n v="8.1999999999999993"/>
    <n v="15"/>
    <s v="Central"/>
    <n v="0"/>
    <s v="No Event"/>
    <n v="37"/>
    <n v="37"/>
    <n v="4.8"/>
    <n v="0"/>
    <n v="15"/>
    <n v="1"/>
    <n v="2"/>
    <n v="0"/>
    <s v="Off-Peak"/>
    <n v="0"/>
    <n v="1"/>
    <n v="0"/>
    <n v="2"/>
    <n v="3.6585365853658498"/>
    <n v="4"/>
    <n v="3.6937500000000001"/>
  </r>
  <r>
    <x v="2"/>
    <d v="2025-02-19T00:00:00"/>
    <s v="Wednesday"/>
    <d v="1899-12-30T14:30:00"/>
    <s v="S18"/>
    <n v="56"/>
    <n v="52"/>
    <n v="18.399999999999999"/>
    <n v="32"/>
    <s v="East"/>
    <n v="0"/>
    <s v="No Event"/>
    <n v="23"/>
    <n v="21"/>
    <n v="11.2"/>
    <n v="0"/>
    <n v="14"/>
    <n v="2"/>
    <n v="2"/>
    <n v="0"/>
    <s v="Off-Peak"/>
    <n v="0"/>
    <n v="0.91304347826086896"/>
    <n v="1"/>
    <n v="1.75"/>
    <n v="3.0434782608695601"/>
    <n v="4"/>
    <n v="8.6013888888888896"/>
  </r>
  <r>
    <x v="5"/>
    <d v="2025-01-05T00:00:00"/>
    <s v="Sunday"/>
    <d v="1899-12-30T10:30:00"/>
    <s v="S25"/>
    <n v="36"/>
    <n v="36"/>
    <n v="12.5"/>
    <n v="22"/>
    <s v="Central"/>
    <n v="0"/>
    <s v="No Event"/>
    <n v="19"/>
    <n v="18"/>
    <n v="4.4000000000000004"/>
    <n v="0"/>
    <n v="10"/>
    <n v="1"/>
    <n v="6"/>
    <n v="1"/>
    <s v="Off-Peak"/>
    <n v="0"/>
    <n v="0.94736842105263097"/>
    <n v="0"/>
    <n v="1.63636363636363"/>
    <n v="2.88"/>
    <n v="0"/>
    <n v="3.4760869565217298"/>
  </r>
  <r>
    <x v="0"/>
    <d v="2025-02-20T00:00:00"/>
    <s v="Thursday"/>
    <d v="1899-12-30T08:45:00"/>
    <s v="S21"/>
    <n v="73"/>
    <n v="69"/>
    <n v="10.1"/>
    <n v="19"/>
    <s v="West"/>
    <n v="0"/>
    <s v="No Event"/>
    <n v="18"/>
    <n v="17"/>
    <n v="3.6"/>
    <n v="0"/>
    <n v="8"/>
    <n v="2"/>
    <n v="3"/>
    <n v="0"/>
    <s v="Morning Peak"/>
    <n v="0"/>
    <n v="0.94444444444444398"/>
    <n v="0"/>
    <n v="3.8421052631578898"/>
    <n v="7.2277227722772199"/>
    <n v="4"/>
    <n v="3.6613636363636299"/>
  </r>
  <r>
    <x v="2"/>
    <d v="2025-01-10T00:00:00"/>
    <s v="Friday"/>
    <d v="1899-12-30T15:00:00"/>
    <s v="S18"/>
    <n v="55"/>
    <n v="53"/>
    <n v="18.399999999999999"/>
    <n v="32"/>
    <s v="East"/>
    <n v="0"/>
    <s v="No Event"/>
    <n v="28"/>
    <n v="23"/>
    <n v="8.8000000000000007"/>
    <n v="1"/>
    <n v="15"/>
    <n v="1"/>
    <n v="4"/>
    <n v="0"/>
    <s v="Off-Peak"/>
    <n v="0"/>
    <n v="0.82142857142857095"/>
    <n v="1"/>
    <n v="1.71875"/>
    <n v="2.9891304347826"/>
    <n v="2"/>
    <n v="8.6013888888888896"/>
  </r>
  <r>
    <x v="9"/>
    <d v="2025-01-19T00:00:00"/>
    <s v="Sunday"/>
    <d v="1899-12-30T08:30:00"/>
    <s v="S04"/>
    <n v="89"/>
    <n v="83"/>
    <n v="15"/>
    <n v="28"/>
    <s v="North"/>
    <n v="0"/>
    <s v="No Event"/>
    <n v="35"/>
    <n v="29"/>
    <n v="6.4"/>
    <n v="0"/>
    <n v="8"/>
    <n v="1"/>
    <n v="6"/>
    <n v="1"/>
    <s v="Morning Peak"/>
    <n v="0"/>
    <n v="0.82857142857142796"/>
    <n v="1"/>
    <n v="3.1785714285714199"/>
    <n v="5.93333333333333"/>
    <n v="6"/>
    <n v="9.4749999999999996"/>
  </r>
  <r>
    <x v="1"/>
    <d v="2025-02-20T00:00:00"/>
    <s v="Thursday"/>
    <d v="1899-12-30T21:45:00"/>
    <s v="S19"/>
    <n v="42"/>
    <n v="40"/>
    <n v="9.5"/>
    <n v="17"/>
    <s v="North"/>
    <n v="0"/>
    <s v="No Event"/>
    <n v="22"/>
    <n v="21"/>
    <n v="8.1999999999999993"/>
    <n v="0"/>
    <n v="21"/>
    <n v="2"/>
    <n v="3"/>
    <n v="0"/>
    <s v="Off-Peak"/>
    <n v="0"/>
    <n v="0.95454545454545403"/>
    <n v="1"/>
    <n v="2.4705882352941102"/>
    <n v="4.4210526315789398"/>
    <n v="2"/>
    <n v="3.8470588235294101"/>
  </r>
  <r>
    <x v="9"/>
    <d v="2025-02-20T00:00:00"/>
    <s v="Thursday"/>
    <d v="1899-12-30T18:15:00"/>
    <s v="S08"/>
    <n v="122.625"/>
    <n v="118"/>
    <n v="15"/>
    <n v="28"/>
    <s v="North"/>
    <n v="0"/>
    <s v="No Event"/>
    <n v="33"/>
    <n v="27"/>
    <n v="16.100000000000001"/>
    <n v="0"/>
    <n v="18"/>
    <n v="2"/>
    <n v="3"/>
    <n v="0"/>
    <s v="Evening Peak"/>
    <n v="0"/>
    <n v="0.81818181818181801"/>
    <n v="1"/>
    <n v="4.3794642857142803"/>
    <n v="8.1750000000000007"/>
    <n v="4.625"/>
    <n v="9.4749999999999996"/>
  </r>
  <r>
    <x v="5"/>
    <d v="2025-02-03T00:00:00"/>
    <s v="Monday"/>
    <d v="1899-12-30T05:30:00"/>
    <s v="S23"/>
    <n v="54"/>
    <n v="50"/>
    <n v="12.5"/>
    <n v="22"/>
    <s v="Central"/>
    <n v="0"/>
    <s v="No Event"/>
    <n v="30"/>
    <n v="30"/>
    <n v="0.3"/>
    <n v="0"/>
    <n v="5"/>
    <n v="2"/>
    <n v="0"/>
    <n v="0"/>
    <s v="Off-Peak"/>
    <n v="0"/>
    <n v="1"/>
    <n v="0"/>
    <n v="2.4545454545454501"/>
    <n v="4.32"/>
    <n v="4"/>
    <n v="3.4760869565217298"/>
  </r>
  <r>
    <x v="9"/>
    <d v="2025-01-30T00:00:00"/>
    <s v="Thursday"/>
    <d v="1899-12-30T15:30:00"/>
    <s v="S23"/>
    <n v="65"/>
    <n v="59"/>
    <n v="15"/>
    <n v="28"/>
    <s v="North"/>
    <n v="0"/>
    <s v="No Event"/>
    <n v="34"/>
    <n v="29"/>
    <n v="9.1"/>
    <n v="1"/>
    <n v="15"/>
    <n v="1"/>
    <n v="3"/>
    <n v="0"/>
    <s v="Off-Peak"/>
    <n v="0"/>
    <n v="0.85294117647058798"/>
    <n v="1"/>
    <n v="2.3214285714285698"/>
    <n v="4.3333333333333304"/>
    <n v="6"/>
    <n v="9.4749999999999996"/>
  </r>
  <r>
    <x v="5"/>
    <d v="2025-01-09T00:00:00"/>
    <s v="Thursday"/>
    <d v="1899-12-30T08:00:00"/>
    <s v="S23"/>
    <n v="64"/>
    <n v="61"/>
    <n v="12.5"/>
    <n v="22"/>
    <s v="Central"/>
    <n v="0"/>
    <s v="No Event"/>
    <n v="33"/>
    <n v="31"/>
    <n v="4.5"/>
    <n v="0"/>
    <n v="8"/>
    <n v="1"/>
    <n v="3"/>
    <n v="0"/>
    <s v="Morning Peak"/>
    <n v="0"/>
    <n v="0.939393939393939"/>
    <n v="0"/>
    <n v="2.9090909090908998"/>
    <n v="5.12"/>
    <n v="3"/>
    <n v="3.4760869565217298"/>
  </r>
  <r>
    <x v="3"/>
    <d v="2025-02-02T00:00:00"/>
    <s v="Sunday"/>
    <d v="1899-12-30T15:30:00"/>
    <s v="S01"/>
    <n v="25"/>
    <n v="24"/>
    <n v="8.1999999999999993"/>
    <n v="15"/>
    <s v="Central"/>
    <n v="0"/>
    <s v="No Event"/>
    <n v="33"/>
    <n v="32"/>
    <n v="4.5999999999999996"/>
    <n v="0"/>
    <n v="15"/>
    <n v="2"/>
    <n v="6"/>
    <n v="1"/>
    <s v="Off-Peak"/>
    <n v="0"/>
    <n v="0.96969696969696895"/>
    <n v="0"/>
    <n v="1.6666666666666601"/>
    <n v="3.0487804878048701"/>
    <n v="1"/>
    <n v="3.6937500000000001"/>
  </r>
  <r>
    <x v="3"/>
    <d v="2025-02-20T00:00:00"/>
    <s v="Thursday"/>
    <d v="1899-12-30T15:45:00"/>
    <s v="S03"/>
    <n v="47"/>
    <n v="42"/>
    <n v="8.1999999999999993"/>
    <n v="15"/>
    <s v="Central"/>
    <n v="0"/>
    <s v="No Event"/>
    <n v="22"/>
    <n v="21"/>
    <n v="2.95"/>
    <n v="1"/>
    <n v="15"/>
    <n v="2"/>
    <n v="3"/>
    <n v="0"/>
    <s v="Off-Peak"/>
    <n v="0"/>
    <n v="0.95454545454545403"/>
    <n v="0"/>
    <n v="3.1333333333333302"/>
    <n v="5.7317073170731696"/>
    <n v="5"/>
    <n v="3.69375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1">
  <r>
    <s v="T0356"/>
    <x v="0"/>
    <d v="2025-01-05T00:00:00"/>
    <s v="Sunday"/>
    <d v="1899-12-30T06:15:00"/>
    <x v="0"/>
    <n v="31"/>
    <n v="28"/>
    <n v="10.1"/>
    <n v="19"/>
    <s v="West"/>
    <n v="0"/>
    <x v="0"/>
    <n v="34"/>
    <n v="34"/>
    <n v="0.8"/>
    <n v="0"/>
    <n v="6"/>
    <n v="1"/>
    <n v="6"/>
    <x v="0"/>
    <x v="0"/>
    <n v="0"/>
    <n v="1"/>
    <n v="0"/>
    <n v="1.6315789473684199"/>
    <n v="3.06930693069306"/>
    <n v="3"/>
    <n v="3.6613636363636299"/>
  </r>
  <r>
    <s v="T0332"/>
    <x v="1"/>
    <d v="2025-01-31T00:00:00"/>
    <s v="Friday"/>
    <d v="1899-12-30T17:45:00"/>
    <x v="1"/>
    <n v="88"/>
    <n v="87"/>
    <n v="9.5"/>
    <n v="17"/>
    <s v="North"/>
    <n v="0"/>
    <x v="0"/>
    <n v="35"/>
    <n v="33"/>
    <n v="0.4"/>
    <n v="0"/>
    <n v="17"/>
    <n v="1"/>
    <n v="4"/>
    <x v="1"/>
    <x v="1"/>
    <n v="0"/>
    <n v="0.94285714285714195"/>
    <n v="0"/>
    <n v="5.1764705882352899"/>
    <n v="9.2631578947368407"/>
    <n v="1"/>
    <n v="3.8470588235294101"/>
  </r>
  <r>
    <s v="T0302"/>
    <x v="2"/>
    <d v="2025-02-25T00:00:00"/>
    <s v="Tuesday"/>
    <d v="1899-12-30T09:15:00"/>
    <x v="2"/>
    <n v="69"/>
    <n v="64"/>
    <n v="18.399999999999999"/>
    <n v="32"/>
    <s v="East"/>
    <n v="0"/>
    <x v="0"/>
    <n v="19"/>
    <n v="16"/>
    <n v="7.8"/>
    <n v="0"/>
    <n v="9"/>
    <n v="2"/>
    <n v="1"/>
    <x v="1"/>
    <x v="2"/>
    <n v="0"/>
    <n v="0.84210526315789402"/>
    <n v="1"/>
    <n v="2.15625"/>
    <n v="3.75"/>
    <n v="5"/>
    <n v="8.6013888888888896"/>
  </r>
  <r>
    <s v="T0318"/>
    <x v="3"/>
    <d v="2025-01-11T00:00:00"/>
    <s v="Saturday"/>
    <d v="1899-12-30T15:30:00"/>
    <x v="0"/>
    <n v="34"/>
    <n v="31"/>
    <n v="8.1999999999999993"/>
    <n v="15"/>
    <s v="Central"/>
    <n v="0"/>
    <x v="1"/>
    <n v="38"/>
    <n v="37"/>
    <n v="3.2"/>
    <n v="0"/>
    <n v="15"/>
    <n v="1"/>
    <n v="5"/>
    <x v="0"/>
    <x v="0"/>
    <n v="1"/>
    <n v="0.97368421052631504"/>
    <n v="0"/>
    <n v="2.2666666666666599"/>
    <n v="4.1463414634146298"/>
    <n v="3"/>
    <n v="3.6937500000000001"/>
  </r>
  <r>
    <s v="T0323"/>
    <x v="0"/>
    <d v="2025-01-09T00:00:00"/>
    <s v="Thursday"/>
    <d v="1899-12-30T11:00:00"/>
    <x v="3"/>
    <n v="45"/>
    <n v="45"/>
    <n v="10.1"/>
    <n v="19"/>
    <s v="West"/>
    <n v="0"/>
    <x v="0"/>
    <n v="24"/>
    <n v="22"/>
    <n v="3"/>
    <n v="0"/>
    <n v="11"/>
    <n v="1"/>
    <n v="3"/>
    <x v="1"/>
    <x v="0"/>
    <n v="0"/>
    <n v="0.91666666666666596"/>
    <n v="0"/>
    <n v="2.3684210526315699"/>
    <n v="4.4554455445544496"/>
    <n v="0"/>
    <n v="3.6613636363636299"/>
  </r>
  <r>
    <s v="T0166"/>
    <x v="4"/>
    <d v="2025-01-23T00:00:00"/>
    <s v="Thursday"/>
    <d v="1899-12-30T07:00:00"/>
    <x v="4"/>
    <n v="120"/>
    <n v="112"/>
    <n v="14.2"/>
    <n v="25"/>
    <s v="East"/>
    <n v="0"/>
    <x v="0"/>
    <n v="20"/>
    <n v="17"/>
    <n v="5"/>
    <n v="0"/>
    <n v="7"/>
    <n v="1"/>
    <n v="3"/>
    <x v="1"/>
    <x v="2"/>
    <n v="0"/>
    <n v="0.85"/>
    <n v="0"/>
    <n v="4.8"/>
    <n v="8.4507042253521103"/>
    <n v="8"/>
    <n v="8.3255319148936096"/>
  </r>
  <r>
    <s v="T0245"/>
    <x v="5"/>
    <d v="2025-01-07T00:00:00"/>
    <s v="Tuesday"/>
    <d v="1899-12-30T06:30:00"/>
    <x v="5"/>
    <n v="56"/>
    <n v="49"/>
    <n v="12.5"/>
    <n v="22"/>
    <s v="Central"/>
    <n v="0"/>
    <x v="0"/>
    <n v="25"/>
    <n v="25"/>
    <n v="2.7"/>
    <n v="1"/>
    <n v="6"/>
    <n v="1"/>
    <n v="1"/>
    <x v="1"/>
    <x v="0"/>
    <n v="0"/>
    <n v="1"/>
    <n v="0"/>
    <n v="2.5454545454545401"/>
    <n v="4.4800000000000004"/>
    <n v="7"/>
    <n v="3.4760869565217298"/>
  </r>
  <r>
    <s v="T0153"/>
    <x v="5"/>
    <d v="2025-01-05T00:00:00"/>
    <s v="Sunday"/>
    <d v="1899-12-30T07:15:00"/>
    <x v="6"/>
    <n v="55"/>
    <n v="55"/>
    <n v="12.5"/>
    <n v="22"/>
    <s v="Central"/>
    <n v="0"/>
    <x v="0"/>
    <n v="19"/>
    <n v="18"/>
    <n v="4.4000000000000004"/>
    <n v="0"/>
    <n v="7"/>
    <n v="1"/>
    <n v="6"/>
    <x v="0"/>
    <x v="2"/>
    <n v="0"/>
    <n v="0.94736842105263097"/>
    <n v="0"/>
    <n v="2.5"/>
    <n v="4.4000000000000004"/>
    <n v="0"/>
    <n v="3.4760869565217298"/>
  </r>
  <r>
    <s v="T0416"/>
    <x v="6"/>
    <d v="2025-01-12T00:00:00"/>
    <s v="Sunday"/>
    <d v="1899-12-30T08:15:00"/>
    <x v="3"/>
    <n v="34"/>
    <n v="33"/>
    <n v="6.8"/>
    <n v="12"/>
    <s v="South"/>
    <n v="0"/>
    <x v="0"/>
    <n v="38"/>
    <n v="37"/>
    <n v="1.5"/>
    <n v="0"/>
    <n v="8"/>
    <n v="1"/>
    <n v="6"/>
    <x v="0"/>
    <x v="2"/>
    <n v="0"/>
    <n v="0.97368421052631504"/>
    <n v="0"/>
    <n v="2.8333333333333299"/>
    <n v="5"/>
    <n v="1"/>
    <n v="2.7611111111111102"/>
  </r>
  <r>
    <s v="T0440"/>
    <x v="5"/>
    <d v="2025-01-25T00:00:00"/>
    <s v="Saturday"/>
    <d v="1899-12-30T05:00:00"/>
    <x v="7"/>
    <n v="50"/>
    <n v="45"/>
    <n v="12.5"/>
    <n v="22"/>
    <s v="Central"/>
    <n v="0"/>
    <x v="2"/>
    <n v="19"/>
    <n v="18"/>
    <n v="0.9"/>
    <n v="0"/>
    <n v="5"/>
    <n v="1"/>
    <n v="5"/>
    <x v="0"/>
    <x v="0"/>
    <n v="1"/>
    <n v="0.94736842105263097"/>
    <n v="0"/>
    <n v="2.2727272727272698"/>
    <n v="4"/>
    <n v="5"/>
    <n v="3.4760869565217298"/>
  </r>
  <r>
    <s v="T0177"/>
    <x v="0"/>
    <d v="2025-02-25T00:00:00"/>
    <s v="Tuesday"/>
    <d v="1899-12-30T16:30:00"/>
    <x v="2"/>
    <n v="44"/>
    <n v="38"/>
    <n v="10.1"/>
    <n v="19"/>
    <s v="West"/>
    <n v="0"/>
    <x v="0"/>
    <n v="39"/>
    <n v="38"/>
    <n v="6"/>
    <n v="0"/>
    <n v="16"/>
    <n v="2"/>
    <n v="1"/>
    <x v="1"/>
    <x v="0"/>
    <n v="0"/>
    <n v="0.97435897435897401"/>
    <n v="1"/>
    <n v="2.3157894736842102"/>
    <n v="4.3564356435643496"/>
    <n v="6"/>
    <n v="3.6613636363636299"/>
  </r>
  <r>
    <s v="T0257"/>
    <x v="7"/>
    <d v="2025-02-04T00:00:00"/>
    <s v="Tuesday"/>
    <d v="1899-12-30T11:00:00"/>
    <x v="8"/>
    <n v="29"/>
    <n v="27"/>
    <n v="11.6"/>
    <n v="21"/>
    <s v="West"/>
    <n v="0"/>
    <x v="0"/>
    <n v="36"/>
    <n v="35"/>
    <n v="1.2"/>
    <n v="0"/>
    <n v="11"/>
    <n v="2"/>
    <n v="1"/>
    <x v="1"/>
    <x v="0"/>
    <n v="0"/>
    <n v="0.97222222222222199"/>
    <n v="0"/>
    <n v="1.38095238095238"/>
    <n v="2.5"/>
    <n v="2"/>
    <n v="2.80217391304347"/>
  </r>
  <r>
    <s v="T0068"/>
    <x v="4"/>
    <d v="2025-01-10T00:00:00"/>
    <s v="Friday"/>
    <d v="1899-12-30T07:15:00"/>
    <x v="8"/>
    <n v="71"/>
    <n v="62"/>
    <n v="14.2"/>
    <n v="25"/>
    <s v="East"/>
    <n v="0"/>
    <x v="0"/>
    <n v="23"/>
    <n v="20"/>
    <n v="9.1"/>
    <n v="0"/>
    <n v="7"/>
    <n v="1"/>
    <n v="4"/>
    <x v="1"/>
    <x v="2"/>
    <n v="0"/>
    <n v="0.86956521739130399"/>
    <n v="1"/>
    <n v="2.84"/>
    <n v="5"/>
    <n v="9"/>
    <n v="8.3255319148936096"/>
  </r>
  <r>
    <s v="T0473"/>
    <x v="5"/>
    <d v="2025-01-07T00:00:00"/>
    <s v="Tuesday"/>
    <d v="1899-12-30T08:00:00"/>
    <x v="9"/>
    <n v="87"/>
    <n v="76"/>
    <n v="12.5"/>
    <n v="22"/>
    <s v="Central"/>
    <n v="0"/>
    <x v="0"/>
    <n v="25"/>
    <n v="25"/>
    <n v="2.7"/>
    <n v="1"/>
    <n v="8"/>
    <n v="1"/>
    <n v="1"/>
    <x v="1"/>
    <x v="2"/>
    <n v="0"/>
    <n v="1"/>
    <n v="0"/>
    <n v="3.9545454545454501"/>
    <n v="6.96"/>
    <n v="11"/>
    <n v="3.4760869565217298"/>
  </r>
  <r>
    <s v="T0478"/>
    <x v="2"/>
    <d v="2025-01-15T00:00:00"/>
    <s v="Wednesday"/>
    <d v="1899-12-30T06:00:00"/>
    <x v="2"/>
    <n v="70"/>
    <n v="66"/>
    <n v="18.399999999999999"/>
    <n v="32"/>
    <s v="East"/>
    <n v="0"/>
    <x v="0"/>
    <n v="30"/>
    <n v="26"/>
    <n v="5.7"/>
    <n v="0"/>
    <n v="6"/>
    <n v="1"/>
    <n v="2"/>
    <x v="1"/>
    <x v="0"/>
    <n v="0"/>
    <n v="0.86666666666666603"/>
    <n v="1"/>
    <n v="2.1875"/>
    <n v="3.8043478260869499"/>
    <n v="4"/>
    <n v="8.6013888888888896"/>
  </r>
  <r>
    <s v="T0002"/>
    <x v="7"/>
    <d v="2025-01-17T00:00:00"/>
    <s v="Friday"/>
    <d v="1899-12-30T07:30:00"/>
    <x v="10"/>
    <n v="70"/>
    <n v="68"/>
    <n v="11.6"/>
    <n v="21"/>
    <s v="West"/>
    <n v="0"/>
    <x v="0"/>
    <n v="37"/>
    <n v="37"/>
    <n v="3.1"/>
    <n v="0"/>
    <n v="7"/>
    <n v="1"/>
    <n v="4"/>
    <x v="1"/>
    <x v="2"/>
    <n v="0"/>
    <n v="1"/>
    <n v="0"/>
    <n v="3.3333333333333299"/>
    <n v="6.0344827586206797"/>
    <n v="2"/>
    <n v="2.80217391304347"/>
  </r>
  <r>
    <s v="T0226"/>
    <x v="3"/>
    <d v="2025-02-04T00:00:00"/>
    <s v="Tuesday"/>
    <d v="1899-12-30T05:15:00"/>
    <x v="11"/>
    <n v="42"/>
    <n v="36"/>
    <n v="8.1999999999999993"/>
    <n v="15"/>
    <s v="Central"/>
    <n v="0"/>
    <x v="0"/>
    <n v="28"/>
    <n v="28"/>
    <n v="4.2"/>
    <n v="0"/>
    <n v="5"/>
    <n v="2"/>
    <n v="1"/>
    <x v="1"/>
    <x v="0"/>
    <n v="0"/>
    <n v="1"/>
    <n v="0"/>
    <n v="2.8"/>
    <n v="5.1219512195121899"/>
    <n v="6"/>
    <n v="3.6937500000000001"/>
  </r>
  <r>
    <s v="T0489"/>
    <x v="7"/>
    <d v="2025-02-26T00:00:00"/>
    <s v="Wednesday"/>
    <d v="1899-12-30T15:45:00"/>
    <x v="12"/>
    <n v="43"/>
    <n v="43"/>
    <n v="11.6"/>
    <n v="21"/>
    <s v="West"/>
    <n v="0"/>
    <x v="0"/>
    <n v="30"/>
    <n v="29"/>
    <n v="4"/>
    <n v="0"/>
    <n v="15"/>
    <n v="2"/>
    <n v="2"/>
    <x v="1"/>
    <x v="0"/>
    <n v="0"/>
    <n v="0.96666666666666601"/>
    <n v="0"/>
    <n v="2.0476190476190399"/>
    <n v="3.7068965517241299"/>
    <n v="0"/>
    <n v="2.80217391304347"/>
  </r>
  <r>
    <s v="T0421"/>
    <x v="4"/>
    <d v="2025-01-22T00:00:00"/>
    <s v="Wednesday"/>
    <d v="1899-12-30T20:00:00"/>
    <x v="7"/>
    <n v="60"/>
    <n v="59"/>
    <n v="14.2"/>
    <n v="25"/>
    <s v="East"/>
    <n v="0"/>
    <x v="0"/>
    <n v="35"/>
    <n v="31"/>
    <n v="9.8000000000000007"/>
    <n v="0"/>
    <n v="20"/>
    <n v="1"/>
    <n v="2"/>
    <x v="1"/>
    <x v="0"/>
    <n v="0"/>
    <n v="0.88571428571428501"/>
    <n v="1"/>
    <n v="2.4"/>
    <n v="4.2253521126760498"/>
    <n v="1"/>
    <n v="8.3255319148936096"/>
  </r>
  <r>
    <s v="T0426"/>
    <x v="2"/>
    <d v="2025-02-10T00:00:00"/>
    <s v="Monday"/>
    <d v="1899-12-30T06:30:00"/>
    <x v="9"/>
    <n v="74"/>
    <n v="65"/>
    <n v="18.399999999999999"/>
    <n v="32"/>
    <s v="East"/>
    <n v="0"/>
    <x v="0"/>
    <n v="30"/>
    <n v="28"/>
    <n v="5"/>
    <n v="0"/>
    <n v="6"/>
    <n v="2"/>
    <n v="0"/>
    <x v="1"/>
    <x v="0"/>
    <n v="0"/>
    <n v="0.93333333333333302"/>
    <n v="0"/>
    <n v="2.3125"/>
    <n v="4.0217391304347796"/>
    <n v="9"/>
    <n v="8.6013888888888896"/>
  </r>
  <r>
    <s v="T0176"/>
    <x v="3"/>
    <d v="2025-01-04T00:00:00"/>
    <s v="Saturday"/>
    <d v="1899-12-30T13:15:00"/>
    <x v="13"/>
    <n v="21"/>
    <n v="21"/>
    <n v="8.1999999999999993"/>
    <n v="15"/>
    <s v="Central"/>
    <n v="0"/>
    <x v="0"/>
    <n v="24"/>
    <n v="23"/>
    <n v="5.6"/>
    <n v="0"/>
    <n v="13"/>
    <n v="1"/>
    <n v="5"/>
    <x v="0"/>
    <x v="0"/>
    <n v="0"/>
    <n v="0.95833333333333304"/>
    <n v="1"/>
    <n v="1.4"/>
    <n v="2.5609756097560901"/>
    <n v="0"/>
    <n v="3.6937500000000001"/>
  </r>
  <r>
    <s v="T0104"/>
    <x v="2"/>
    <d v="2025-02-28T00:00:00"/>
    <s v="Friday"/>
    <d v="1899-12-30T08:15:00"/>
    <x v="1"/>
    <n v="122"/>
    <n v="106"/>
    <n v="18.399999999999999"/>
    <n v="32"/>
    <s v="East"/>
    <n v="0"/>
    <x v="0"/>
    <n v="23"/>
    <n v="20"/>
    <n v="11"/>
    <n v="0"/>
    <n v="8"/>
    <n v="2"/>
    <n v="4"/>
    <x v="1"/>
    <x v="2"/>
    <n v="0"/>
    <n v="0.86956521739130399"/>
    <n v="1"/>
    <n v="3.8125"/>
    <n v="6.63043478260869"/>
    <n v="16"/>
    <n v="8.6013888888888896"/>
  </r>
  <r>
    <s v="T0267"/>
    <x v="0"/>
    <d v="2025-01-17T00:00:00"/>
    <s v="Friday"/>
    <d v="1899-12-30T13:15:00"/>
    <x v="1"/>
    <n v="50"/>
    <n v="46"/>
    <n v="10.1"/>
    <n v="19"/>
    <s v="West"/>
    <n v="0"/>
    <x v="0"/>
    <n v="19"/>
    <n v="18"/>
    <n v="2.9"/>
    <n v="0"/>
    <n v="13"/>
    <n v="1"/>
    <n v="4"/>
    <x v="1"/>
    <x v="0"/>
    <n v="0"/>
    <n v="0.94736842105263097"/>
    <n v="0"/>
    <n v="2.6315789473684199"/>
    <n v="4.9504950495049496"/>
    <n v="4"/>
    <n v="3.6613636363636299"/>
  </r>
  <r>
    <s v="T0468"/>
    <x v="4"/>
    <d v="2025-02-08T00:00:00"/>
    <s v="Saturday"/>
    <d v="1899-12-30T16:15:00"/>
    <x v="11"/>
    <n v="53"/>
    <n v="52"/>
    <n v="14.2"/>
    <n v="25"/>
    <s v="East"/>
    <n v="0"/>
    <x v="1"/>
    <n v="34"/>
    <n v="30"/>
    <n v="14.8"/>
    <n v="0"/>
    <n v="16"/>
    <n v="2"/>
    <n v="5"/>
    <x v="0"/>
    <x v="0"/>
    <n v="1"/>
    <n v="0.88235294117647001"/>
    <n v="1"/>
    <n v="2.12"/>
    <n v="3.7323943661971799"/>
    <n v="1"/>
    <n v="8.3255319148936096"/>
  </r>
  <r>
    <s v="T0174"/>
    <x v="3"/>
    <d v="2025-01-04T00:00:00"/>
    <s v="Saturday"/>
    <d v="1899-12-30T07:45:00"/>
    <x v="2"/>
    <n v="54"/>
    <n v="52"/>
    <n v="8.1999999999999993"/>
    <n v="15"/>
    <s v="Central"/>
    <n v="0"/>
    <x v="0"/>
    <n v="24"/>
    <n v="23"/>
    <n v="5.6"/>
    <n v="0"/>
    <n v="7"/>
    <n v="1"/>
    <n v="5"/>
    <x v="0"/>
    <x v="2"/>
    <n v="0"/>
    <n v="0.95833333333333304"/>
    <n v="1"/>
    <n v="3.6"/>
    <n v="6.58536585365853"/>
    <n v="2"/>
    <n v="3.6937500000000001"/>
  </r>
  <r>
    <s v="T0019"/>
    <x v="6"/>
    <d v="2025-01-25T00:00:00"/>
    <s v="Saturday"/>
    <d v="1899-12-30T09:45:00"/>
    <x v="1"/>
    <n v="69"/>
    <n v="68"/>
    <n v="6.8"/>
    <n v="12"/>
    <s v="South"/>
    <n v="0"/>
    <x v="2"/>
    <n v="22"/>
    <n v="22"/>
    <n v="1.3"/>
    <n v="0"/>
    <n v="9"/>
    <n v="1"/>
    <n v="5"/>
    <x v="0"/>
    <x v="2"/>
    <n v="1"/>
    <n v="1"/>
    <n v="0"/>
    <n v="5.75"/>
    <n v="10.147058823529401"/>
    <n v="1"/>
    <n v="2.7611111111111102"/>
  </r>
  <r>
    <s v="T0389"/>
    <x v="1"/>
    <d v="2025-02-09T00:00:00"/>
    <s v="Sunday"/>
    <d v="1899-12-30T08:00:00"/>
    <x v="3"/>
    <n v="49"/>
    <n v="46"/>
    <n v="9.5"/>
    <n v="17"/>
    <s v="North"/>
    <n v="0"/>
    <x v="0"/>
    <n v="31"/>
    <n v="30"/>
    <n v="4.5999999999999996"/>
    <n v="0"/>
    <n v="8"/>
    <n v="2"/>
    <n v="6"/>
    <x v="0"/>
    <x v="2"/>
    <n v="0"/>
    <n v="0.967741935483871"/>
    <n v="0"/>
    <n v="2.8823529411764701"/>
    <n v="5.1578947368421"/>
    <n v="3"/>
    <n v="3.8470588235294101"/>
  </r>
  <r>
    <s v="T0268"/>
    <x v="1"/>
    <d v="2025-02-08T00:00:00"/>
    <s v="Saturday"/>
    <d v="1899-12-30T18:45:00"/>
    <x v="14"/>
    <n v="83"/>
    <n v="73"/>
    <n v="9.5"/>
    <n v="17"/>
    <s v="North"/>
    <n v="0"/>
    <x v="1"/>
    <n v="28"/>
    <n v="26"/>
    <n v="0.6"/>
    <n v="0"/>
    <n v="18"/>
    <n v="2"/>
    <n v="5"/>
    <x v="0"/>
    <x v="1"/>
    <n v="1"/>
    <n v="0.92857142857142805"/>
    <n v="0"/>
    <n v="4.8823529411764701"/>
    <n v="8.7368421052631504"/>
    <n v="10"/>
    <n v="3.8470588235294101"/>
  </r>
  <r>
    <s v="T0056"/>
    <x v="7"/>
    <d v="2025-01-17T00:00:00"/>
    <s v="Friday"/>
    <d v="1899-12-30T07:15:00"/>
    <x v="11"/>
    <n v="96"/>
    <n v="90"/>
    <n v="11.6"/>
    <n v="21"/>
    <s v="West"/>
    <n v="0"/>
    <x v="0"/>
    <n v="37"/>
    <n v="37"/>
    <n v="3.1"/>
    <n v="0"/>
    <n v="7"/>
    <n v="1"/>
    <n v="4"/>
    <x v="1"/>
    <x v="2"/>
    <n v="0"/>
    <n v="1"/>
    <n v="0"/>
    <n v="4.5714285714285703"/>
    <n v="8.2758620689655107"/>
    <n v="6"/>
    <n v="2.80217391304347"/>
  </r>
  <r>
    <s v="T0147"/>
    <x v="2"/>
    <d v="2025-01-17T00:00:00"/>
    <s v="Friday"/>
    <d v="1899-12-30T16:30:00"/>
    <x v="15"/>
    <n v="67"/>
    <n v="61"/>
    <n v="18.399999999999999"/>
    <n v="32"/>
    <s v="East"/>
    <n v="0"/>
    <x v="0"/>
    <n v="18"/>
    <n v="15"/>
    <n v="9.6999999999999993"/>
    <n v="0"/>
    <n v="16"/>
    <n v="1"/>
    <n v="4"/>
    <x v="1"/>
    <x v="0"/>
    <n v="0"/>
    <n v="0.83333333333333304"/>
    <n v="1"/>
    <n v="2.09375"/>
    <n v="3.6413043478260798"/>
    <n v="6"/>
    <n v="8.6013888888888896"/>
  </r>
  <r>
    <s v="T0428"/>
    <x v="8"/>
    <d v="2025-01-14T00:00:00"/>
    <s v="Tuesday"/>
    <d v="1899-12-30T17:45:00"/>
    <x v="3"/>
    <n v="54"/>
    <n v="51"/>
    <n v="7.3"/>
    <n v="13"/>
    <s v="South"/>
    <n v="1"/>
    <x v="0"/>
    <n v="19"/>
    <n v="19"/>
    <n v="10.4"/>
    <n v="0"/>
    <n v="17"/>
    <n v="1"/>
    <n v="1"/>
    <x v="1"/>
    <x v="1"/>
    <n v="0"/>
    <n v="1"/>
    <n v="1"/>
    <n v="4.1538461538461497"/>
    <n v="7.3972602739726003"/>
    <n v="3"/>
    <n v="4.0518518518518496"/>
  </r>
  <r>
    <s v="T0130"/>
    <x v="2"/>
    <d v="2025-02-21T00:00:00"/>
    <s v="Friday"/>
    <d v="1899-12-30T09:15:00"/>
    <x v="16"/>
    <n v="110"/>
    <n v="106"/>
    <n v="18.399999999999999"/>
    <n v="32"/>
    <s v="East"/>
    <n v="0"/>
    <x v="0"/>
    <n v="37"/>
    <n v="30"/>
    <n v="11.2"/>
    <n v="0"/>
    <n v="9"/>
    <n v="2"/>
    <n v="4"/>
    <x v="1"/>
    <x v="2"/>
    <n v="0"/>
    <n v="0.81081081081080997"/>
    <n v="1"/>
    <n v="3.4375"/>
    <n v="5.9782608695652097"/>
    <n v="4"/>
    <n v="8.6013888888888896"/>
  </r>
  <r>
    <s v="T0195"/>
    <x v="9"/>
    <d v="2025-01-21T00:00:00"/>
    <s v="Tuesday"/>
    <d v="1899-12-30T16:00:00"/>
    <x v="17"/>
    <n v="54"/>
    <n v="48"/>
    <n v="15"/>
    <n v="28"/>
    <s v="North"/>
    <n v="0"/>
    <x v="0"/>
    <n v="27"/>
    <n v="23"/>
    <n v="6.2"/>
    <n v="0"/>
    <n v="16"/>
    <n v="1"/>
    <n v="1"/>
    <x v="1"/>
    <x v="0"/>
    <n v="0"/>
    <n v="0.85185185185185097"/>
    <n v="1"/>
    <n v="1.9285714285714199"/>
    <n v="3.6"/>
    <n v="6"/>
    <n v="9.4749999999999996"/>
  </r>
  <r>
    <s v="T0066"/>
    <x v="2"/>
    <d v="2025-02-06T00:00:00"/>
    <s v="Thursday"/>
    <d v="1899-12-30T08:15:00"/>
    <x v="1"/>
    <n v="120"/>
    <n v="111"/>
    <n v="18.399999999999999"/>
    <n v="32"/>
    <s v="East"/>
    <n v="0"/>
    <x v="0"/>
    <n v="23"/>
    <n v="21"/>
    <n v="9.1999999999999993"/>
    <n v="0"/>
    <n v="8"/>
    <n v="2"/>
    <n v="3"/>
    <x v="1"/>
    <x v="2"/>
    <n v="0"/>
    <n v="0.91304347826086896"/>
    <n v="1"/>
    <n v="3.75"/>
    <n v="6.5217391304347796"/>
    <n v="9"/>
    <n v="8.6013888888888896"/>
  </r>
  <r>
    <s v="T0335"/>
    <x v="5"/>
    <d v="2025-01-20T00:00:00"/>
    <s v="Monday"/>
    <d v="1899-12-30T08:30:00"/>
    <x v="18"/>
    <n v="89"/>
    <n v="84"/>
    <n v="12.5"/>
    <n v="22"/>
    <s v="Central"/>
    <n v="0"/>
    <x v="0"/>
    <n v="35"/>
    <n v="33"/>
    <n v="2.1"/>
    <n v="0"/>
    <n v="8"/>
    <n v="1"/>
    <n v="0"/>
    <x v="1"/>
    <x v="2"/>
    <n v="0"/>
    <n v="0.94285714285714195"/>
    <n v="0"/>
    <n v="4.0454545454545396"/>
    <n v="7.12"/>
    <n v="5"/>
    <n v="3.4760869565217298"/>
  </r>
  <r>
    <s v="T0370"/>
    <x v="5"/>
    <d v="2025-01-14T00:00:00"/>
    <s v="Tuesday"/>
    <d v="1899-12-30T06:45:00"/>
    <x v="1"/>
    <n v="39"/>
    <n v="37"/>
    <n v="12.5"/>
    <n v="22"/>
    <s v="Central"/>
    <n v="1"/>
    <x v="0"/>
    <n v="20"/>
    <n v="19"/>
    <n v="2"/>
    <n v="0"/>
    <n v="6"/>
    <n v="1"/>
    <n v="1"/>
    <x v="1"/>
    <x v="0"/>
    <n v="0"/>
    <n v="0.95"/>
    <n v="0"/>
    <n v="1.77272727272727"/>
    <n v="3.12"/>
    <n v="2"/>
    <n v="3.4760869565217298"/>
  </r>
  <r>
    <s v="T0048"/>
    <x v="2"/>
    <d v="2025-02-10T00:00:00"/>
    <s v="Monday"/>
    <d v="1899-12-30T09:15:00"/>
    <x v="3"/>
    <n v="111"/>
    <n v="95"/>
    <n v="18.399999999999999"/>
    <n v="32"/>
    <s v="East"/>
    <n v="0"/>
    <x v="0"/>
    <n v="30"/>
    <n v="28"/>
    <n v="5"/>
    <n v="0"/>
    <n v="9"/>
    <n v="2"/>
    <n v="0"/>
    <x v="1"/>
    <x v="2"/>
    <n v="0"/>
    <n v="0.93333333333333302"/>
    <n v="0"/>
    <n v="3.46875"/>
    <n v="6.0326086956521703"/>
    <n v="16"/>
    <n v="8.6013888888888896"/>
  </r>
  <r>
    <s v="T0301"/>
    <x v="5"/>
    <d v="2025-02-28T00:00:00"/>
    <s v="Friday"/>
    <d v="1899-12-30T13:30:00"/>
    <x v="1"/>
    <n v="43"/>
    <n v="41"/>
    <n v="12.5"/>
    <n v="22"/>
    <s v="Central"/>
    <n v="0"/>
    <x v="0"/>
    <n v="38"/>
    <n v="36"/>
    <n v="0.6"/>
    <n v="0"/>
    <n v="13"/>
    <n v="2"/>
    <n v="4"/>
    <x v="1"/>
    <x v="0"/>
    <n v="0"/>
    <n v="0.94736842105263097"/>
    <n v="0"/>
    <n v="1.9545454545454499"/>
    <n v="3.44"/>
    <n v="2"/>
    <n v="3.4760869565217298"/>
  </r>
  <r>
    <s v="T0387"/>
    <x v="9"/>
    <d v="2025-01-02T00:00:00"/>
    <s v="Thursday"/>
    <d v="1899-12-30T07:45:00"/>
    <x v="2"/>
    <n v="102"/>
    <n v="94"/>
    <n v="15"/>
    <n v="28"/>
    <s v="North"/>
    <n v="0"/>
    <x v="0"/>
    <n v="21"/>
    <n v="18"/>
    <n v="7.9"/>
    <n v="0"/>
    <n v="7"/>
    <n v="1"/>
    <n v="3"/>
    <x v="1"/>
    <x v="2"/>
    <n v="0"/>
    <n v="0.85714285714285698"/>
    <n v="1"/>
    <n v="3.6428571428571401"/>
    <n v="6.8"/>
    <n v="8"/>
    <n v="9.4749999999999996"/>
  </r>
  <r>
    <s v="T0078"/>
    <x v="5"/>
    <d v="2025-01-13T00:00:00"/>
    <s v="Monday"/>
    <d v="1899-12-30T14:15:00"/>
    <x v="2"/>
    <n v="44"/>
    <n v="44"/>
    <n v="12.5"/>
    <n v="22"/>
    <s v="Central"/>
    <n v="0"/>
    <x v="0"/>
    <n v="36"/>
    <n v="34"/>
    <n v="1.2"/>
    <n v="0"/>
    <n v="14"/>
    <n v="1"/>
    <n v="0"/>
    <x v="1"/>
    <x v="0"/>
    <n v="0"/>
    <n v="0.94444444444444398"/>
    <n v="0"/>
    <n v="2"/>
    <n v="3.52"/>
    <n v="0"/>
    <n v="3.4760869565217298"/>
  </r>
  <r>
    <s v="T0304"/>
    <x v="0"/>
    <d v="2025-02-14T00:00:00"/>
    <s v="Friday"/>
    <d v="1899-12-30T16:00:00"/>
    <x v="13"/>
    <n v="43"/>
    <n v="39"/>
    <n v="10.1"/>
    <n v="19"/>
    <s v="West"/>
    <n v="0"/>
    <x v="0"/>
    <n v="29"/>
    <n v="29"/>
    <n v="3.3"/>
    <n v="1"/>
    <n v="16"/>
    <n v="2"/>
    <n v="4"/>
    <x v="1"/>
    <x v="0"/>
    <n v="0"/>
    <n v="1"/>
    <n v="0"/>
    <n v="2.2631578947368398"/>
    <n v="4.2574257425742497"/>
    <n v="4"/>
    <n v="3.6613636363636299"/>
  </r>
  <r>
    <s v="T0021"/>
    <x v="2"/>
    <d v="2025-01-10T00:00:00"/>
    <s v="Friday"/>
    <d v="1899-12-30T11:15:00"/>
    <x v="1"/>
    <n v="54"/>
    <n v="47"/>
    <n v="18.399999999999999"/>
    <n v="32"/>
    <s v="East"/>
    <n v="0"/>
    <x v="0"/>
    <n v="28"/>
    <n v="23"/>
    <n v="8.8000000000000007"/>
    <n v="1"/>
    <n v="11"/>
    <n v="1"/>
    <n v="4"/>
    <x v="1"/>
    <x v="0"/>
    <n v="0"/>
    <n v="0.82142857142857095"/>
    <n v="1"/>
    <n v="1.6875"/>
    <n v="2.9347826086956501"/>
    <n v="7"/>
    <n v="8.6013888888888896"/>
  </r>
  <r>
    <s v="T0090"/>
    <x v="2"/>
    <d v="2025-02-27T00:00:00"/>
    <s v="Thursday"/>
    <d v="1899-12-30T10:45:00"/>
    <x v="19"/>
    <n v="62"/>
    <n v="60"/>
    <n v="18.399999999999999"/>
    <n v="32"/>
    <s v="East"/>
    <n v="0"/>
    <x v="0"/>
    <n v="33"/>
    <n v="30"/>
    <n v="4.9000000000000004"/>
    <n v="0"/>
    <n v="10"/>
    <n v="2"/>
    <n v="3"/>
    <x v="1"/>
    <x v="0"/>
    <n v="0"/>
    <n v="0.90909090909090895"/>
    <n v="0"/>
    <n v="1.9375"/>
    <n v="3.3695652173913002"/>
    <n v="2"/>
    <n v="8.6013888888888896"/>
  </r>
  <r>
    <s v="T0425"/>
    <x v="5"/>
    <d v="2025-01-11T00:00:00"/>
    <s v="Saturday"/>
    <d v="1899-12-30T13:00:00"/>
    <x v="0"/>
    <n v="32"/>
    <n v="32"/>
    <n v="12.5"/>
    <n v="22"/>
    <s v="Central"/>
    <n v="0"/>
    <x v="1"/>
    <n v="39"/>
    <n v="37"/>
    <n v="1.4"/>
    <n v="0"/>
    <n v="13"/>
    <n v="1"/>
    <n v="5"/>
    <x v="0"/>
    <x v="0"/>
    <n v="1"/>
    <n v="0.94871794871794801"/>
    <n v="0"/>
    <n v="1.4545454545454499"/>
    <n v="2.56"/>
    <n v="0"/>
    <n v="3.4760869565217298"/>
  </r>
  <r>
    <s v="T0487"/>
    <x v="5"/>
    <d v="2025-01-29T00:00:00"/>
    <s v="Wednesday"/>
    <d v="1899-12-30T15:15:00"/>
    <x v="1"/>
    <n v="49"/>
    <n v="42"/>
    <n v="12.5"/>
    <n v="22"/>
    <s v="Central"/>
    <n v="0"/>
    <x v="0"/>
    <n v="33"/>
    <n v="31"/>
    <n v="2.7"/>
    <n v="0"/>
    <n v="15"/>
    <n v="1"/>
    <n v="2"/>
    <x v="1"/>
    <x v="0"/>
    <n v="0"/>
    <n v="0.939393939393939"/>
    <n v="0"/>
    <n v="2.22727272727272"/>
    <n v="3.92"/>
    <n v="7"/>
    <n v="3.4760869565217298"/>
  </r>
  <r>
    <s v="T0204"/>
    <x v="8"/>
    <d v="2025-02-18T00:00:00"/>
    <s v="Tuesday"/>
    <d v="1899-12-30T20:45:00"/>
    <x v="15"/>
    <n v="28"/>
    <n v="26"/>
    <n v="7.3"/>
    <n v="13"/>
    <s v="South"/>
    <n v="0"/>
    <x v="0"/>
    <n v="27"/>
    <n v="26"/>
    <n v="1"/>
    <n v="0"/>
    <n v="20"/>
    <n v="2"/>
    <n v="1"/>
    <x v="1"/>
    <x v="0"/>
    <n v="0"/>
    <n v="0.96296296296296202"/>
    <n v="0"/>
    <n v="2.1538461538461502"/>
    <n v="3.8356164383561602"/>
    <n v="2"/>
    <n v="4.0518518518518496"/>
  </r>
  <r>
    <s v="T0194"/>
    <x v="0"/>
    <d v="2025-01-22T00:00:00"/>
    <s v="Wednesday"/>
    <d v="1899-12-30T07:30:00"/>
    <x v="5"/>
    <n v="59"/>
    <n v="55"/>
    <n v="10.1"/>
    <n v="19"/>
    <s v="West"/>
    <n v="0"/>
    <x v="0"/>
    <n v="24"/>
    <n v="24"/>
    <n v="1.6"/>
    <n v="0"/>
    <n v="7"/>
    <n v="1"/>
    <n v="2"/>
    <x v="1"/>
    <x v="2"/>
    <n v="0"/>
    <n v="1"/>
    <n v="0"/>
    <n v="3.1052631578947301"/>
    <n v="5.8415841584158397"/>
    <n v="4"/>
    <n v="3.6613636363636299"/>
  </r>
  <r>
    <s v="T0278"/>
    <x v="0"/>
    <d v="2025-01-10T00:00:00"/>
    <s v="Friday"/>
    <d v="1899-12-30T12:00:00"/>
    <x v="20"/>
    <n v="63"/>
    <n v="55"/>
    <n v="10.1"/>
    <n v="19"/>
    <s v="West"/>
    <n v="0"/>
    <x v="0"/>
    <n v="39"/>
    <n v="37"/>
    <n v="5.2"/>
    <n v="0"/>
    <n v="12"/>
    <n v="1"/>
    <n v="4"/>
    <x v="1"/>
    <x v="0"/>
    <n v="0"/>
    <n v="0.94871794871794801"/>
    <n v="1"/>
    <n v="3.3157894736842102"/>
    <n v="6.2376237623762298"/>
    <n v="8"/>
    <n v="3.6613636363636299"/>
  </r>
  <r>
    <s v="T0310"/>
    <x v="3"/>
    <d v="2025-01-22T00:00:00"/>
    <s v="Wednesday"/>
    <d v="1899-12-30T10:15:00"/>
    <x v="4"/>
    <n v="28"/>
    <n v="28"/>
    <n v="8.1999999999999993"/>
    <n v="15"/>
    <s v="Central"/>
    <n v="0"/>
    <x v="0"/>
    <n v="37"/>
    <n v="37"/>
    <n v="4.8"/>
    <n v="0"/>
    <n v="10"/>
    <n v="1"/>
    <n v="2"/>
    <x v="1"/>
    <x v="0"/>
    <n v="0"/>
    <n v="1"/>
    <n v="0"/>
    <n v="1.86666666666666"/>
    <n v="3.4146341463414598"/>
    <n v="0"/>
    <n v="3.6937500000000001"/>
  </r>
  <r>
    <s v="T0241"/>
    <x v="7"/>
    <d v="2025-01-14T00:00:00"/>
    <s v="Tuesday"/>
    <d v="1899-12-30T21:45:00"/>
    <x v="7"/>
    <n v="34"/>
    <n v="30"/>
    <n v="11.6"/>
    <n v="21"/>
    <s v="West"/>
    <n v="1"/>
    <x v="0"/>
    <n v="23"/>
    <n v="22"/>
    <n v="0.8"/>
    <n v="0"/>
    <n v="21"/>
    <n v="1"/>
    <n v="1"/>
    <x v="1"/>
    <x v="0"/>
    <n v="0"/>
    <n v="0.95652173913043403"/>
    <n v="0"/>
    <n v="1.61904761904761"/>
    <n v="2.9310344827586201"/>
    <n v="4"/>
    <n v="2.80217391304347"/>
  </r>
  <r>
    <s v="T0180"/>
    <x v="5"/>
    <d v="2025-02-01T00:00:00"/>
    <s v="Saturday"/>
    <d v="1899-12-30T08:15:00"/>
    <x v="1"/>
    <n v="57"/>
    <n v="52"/>
    <n v="12.5"/>
    <n v="22"/>
    <s v="Central"/>
    <n v="0"/>
    <x v="0"/>
    <n v="32"/>
    <n v="30"/>
    <n v="2.2999999999999998"/>
    <n v="0"/>
    <n v="8"/>
    <n v="2"/>
    <n v="5"/>
    <x v="0"/>
    <x v="2"/>
    <n v="0"/>
    <n v="0.9375"/>
    <n v="0"/>
    <n v="2.5909090909090899"/>
    <n v="4.5599999999999996"/>
    <n v="5"/>
    <n v="3.4760869565217298"/>
  </r>
  <r>
    <s v="T0269"/>
    <x v="9"/>
    <d v="2025-01-22T00:00:00"/>
    <s v="Wednesday"/>
    <d v="1899-12-30T14:45:00"/>
    <x v="8"/>
    <n v="42"/>
    <n v="37"/>
    <n v="15"/>
    <n v="28"/>
    <s v="North"/>
    <n v="0"/>
    <x v="0"/>
    <n v="33"/>
    <n v="27"/>
    <n v="4.2"/>
    <n v="0"/>
    <n v="14"/>
    <n v="1"/>
    <n v="2"/>
    <x v="1"/>
    <x v="0"/>
    <n v="0"/>
    <n v="0.81818181818181801"/>
    <n v="0"/>
    <n v="1.5"/>
    <n v="2.8"/>
    <n v="5"/>
    <n v="9.4749999999999996"/>
  </r>
  <r>
    <s v="T0413"/>
    <x v="7"/>
    <d v="2025-01-11T00:00:00"/>
    <s v="Saturday"/>
    <d v="1899-12-30T12:15:00"/>
    <x v="1"/>
    <n v="52"/>
    <n v="46"/>
    <n v="11.6"/>
    <n v="21"/>
    <s v="West"/>
    <n v="0"/>
    <x v="1"/>
    <n v="23"/>
    <n v="22"/>
    <n v="1.4"/>
    <n v="0"/>
    <n v="12"/>
    <n v="1"/>
    <n v="5"/>
    <x v="0"/>
    <x v="0"/>
    <n v="1"/>
    <n v="0.95652173913043403"/>
    <n v="0"/>
    <n v="2.4761904761904701"/>
    <n v="4.4827586206896504"/>
    <n v="6"/>
    <n v="2.80217391304347"/>
  </r>
  <r>
    <s v="T0200"/>
    <x v="4"/>
    <d v="2025-01-12T00:00:00"/>
    <s v="Sunday"/>
    <d v="1899-12-30T16:45:00"/>
    <x v="7"/>
    <n v="27"/>
    <n v="26"/>
    <n v="14.2"/>
    <n v="25"/>
    <s v="East"/>
    <n v="0"/>
    <x v="0"/>
    <n v="23"/>
    <n v="18"/>
    <n v="7.6"/>
    <n v="0"/>
    <n v="16"/>
    <n v="1"/>
    <n v="6"/>
    <x v="0"/>
    <x v="0"/>
    <n v="0"/>
    <n v="0.78260869565217395"/>
    <n v="1"/>
    <n v="1.08"/>
    <n v="1.9014084507042199"/>
    <n v="1"/>
    <n v="8.3255319148936096"/>
  </r>
  <r>
    <s v="T0223"/>
    <x v="5"/>
    <d v="2025-01-01T00:00:00"/>
    <s v="Wednesday"/>
    <d v="1899-12-30T07:45:00"/>
    <x v="3"/>
    <n v="102"/>
    <n v="98"/>
    <n v="12.5"/>
    <n v="22"/>
    <s v="Central"/>
    <n v="1"/>
    <x v="0"/>
    <n v="39"/>
    <n v="38"/>
    <n v="1.6"/>
    <n v="0"/>
    <n v="7"/>
    <n v="1"/>
    <n v="2"/>
    <x v="1"/>
    <x v="2"/>
    <n v="0"/>
    <n v="0.97435897435897401"/>
    <n v="0"/>
    <n v="4.6363636363636296"/>
    <n v="8.16"/>
    <n v="4"/>
    <n v="3.4760869565217298"/>
  </r>
  <r>
    <s v="T0029"/>
    <x v="2"/>
    <d v="2025-02-25T00:00:00"/>
    <s v="Tuesday"/>
    <d v="1899-12-30T15:00:00"/>
    <x v="15"/>
    <n v="49"/>
    <n v="43"/>
    <n v="18.399999999999999"/>
    <n v="32"/>
    <s v="East"/>
    <n v="0"/>
    <x v="0"/>
    <n v="19"/>
    <n v="16"/>
    <n v="7.8"/>
    <n v="0"/>
    <n v="15"/>
    <n v="2"/>
    <n v="1"/>
    <x v="1"/>
    <x v="0"/>
    <n v="0"/>
    <n v="0.84210526315789402"/>
    <n v="1"/>
    <n v="1.53125"/>
    <n v="2.6630434782608599"/>
    <n v="6"/>
    <n v="8.6013888888888896"/>
  </r>
  <r>
    <s v="T0161"/>
    <x v="9"/>
    <d v="2025-02-17T00:00:00"/>
    <s v="Monday"/>
    <d v="1899-12-30T16:15:00"/>
    <x v="17"/>
    <n v="59"/>
    <n v="54"/>
    <n v="15"/>
    <n v="28"/>
    <s v="North"/>
    <n v="0"/>
    <x v="0"/>
    <n v="32"/>
    <n v="27"/>
    <n v="8.8000000000000007"/>
    <n v="0"/>
    <n v="16"/>
    <n v="2"/>
    <n v="0"/>
    <x v="1"/>
    <x v="0"/>
    <n v="0"/>
    <n v="0.84375"/>
    <n v="1"/>
    <n v="2.1071428571428501"/>
    <n v="3.93333333333333"/>
    <n v="5"/>
    <n v="9.4749999999999996"/>
  </r>
  <r>
    <s v="T0184"/>
    <x v="8"/>
    <d v="2025-02-01T00:00:00"/>
    <s v="Saturday"/>
    <d v="1899-12-30T15:30:00"/>
    <x v="2"/>
    <n v="24"/>
    <n v="22"/>
    <n v="7.3"/>
    <n v="13"/>
    <s v="South"/>
    <n v="0"/>
    <x v="0"/>
    <n v="38"/>
    <n v="37"/>
    <n v="2.4"/>
    <n v="0"/>
    <n v="15"/>
    <n v="2"/>
    <n v="5"/>
    <x v="0"/>
    <x v="0"/>
    <n v="0"/>
    <n v="0.97368421052631504"/>
    <n v="0"/>
    <n v="1.84615384615384"/>
    <n v="3.2876712328767099"/>
    <n v="2"/>
    <n v="4.0518518518518496"/>
  </r>
  <r>
    <s v="T0025"/>
    <x v="6"/>
    <d v="2025-02-28T00:00:00"/>
    <s v="Friday"/>
    <d v="1899-12-30T07:15:00"/>
    <x v="21"/>
    <n v="82"/>
    <n v="75"/>
    <n v="6.8"/>
    <n v="12"/>
    <s v="South"/>
    <n v="0"/>
    <x v="0"/>
    <n v="24"/>
    <n v="23"/>
    <n v="1.4"/>
    <n v="0"/>
    <n v="7"/>
    <n v="2"/>
    <n v="4"/>
    <x v="1"/>
    <x v="2"/>
    <n v="0"/>
    <n v="0.95833333333333304"/>
    <n v="0"/>
    <n v="6.8333333333333304"/>
    <n v="12.058823529411701"/>
    <n v="7"/>
    <n v="2.7611111111111102"/>
  </r>
  <r>
    <s v="T0216"/>
    <x v="3"/>
    <d v="2025-02-25T00:00:00"/>
    <s v="Tuesday"/>
    <d v="1899-12-30T09:45:00"/>
    <x v="7"/>
    <n v="77"/>
    <n v="76"/>
    <n v="8.1999999999999993"/>
    <n v="15"/>
    <s v="Central"/>
    <n v="0"/>
    <x v="0"/>
    <n v="29"/>
    <n v="28"/>
    <n v="2.6"/>
    <n v="0"/>
    <n v="9"/>
    <n v="2"/>
    <n v="1"/>
    <x v="1"/>
    <x v="2"/>
    <n v="0"/>
    <n v="0.96551724137931005"/>
    <n v="0"/>
    <n v="5.1333333333333302"/>
    <n v="9.3902439024390194"/>
    <n v="1"/>
    <n v="3.6937500000000001"/>
  </r>
  <r>
    <s v="T0155"/>
    <x v="7"/>
    <d v="2025-01-06T00:00:00"/>
    <s v="Monday"/>
    <d v="1899-12-30T22:45:00"/>
    <x v="2"/>
    <n v="44"/>
    <n v="41"/>
    <n v="11.6"/>
    <n v="21"/>
    <s v="West"/>
    <n v="0"/>
    <x v="0"/>
    <n v="24"/>
    <n v="24"/>
    <n v="4.8"/>
    <n v="0"/>
    <n v="22"/>
    <n v="1"/>
    <n v="0"/>
    <x v="1"/>
    <x v="0"/>
    <n v="0"/>
    <n v="1"/>
    <n v="0"/>
    <n v="2.09523809523809"/>
    <n v="3.7931034482758599"/>
    <n v="3"/>
    <n v="2.80217391304347"/>
  </r>
  <r>
    <s v="T0482"/>
    <x v="0"/>
    <d v="2025-02-21T00:00:00"/>
    <s v="Friday"/>
    <d v="1899-12-30T21:30:00"/>
    <x v="0"/>
    <n v="47"/>
    <n v="43"/>
    <n v="10.1"/>
    <n v="19"/>
    <s v="West"/>
    <n v="0"/>
    <x v="0"/>
    <n v="32"/>
    <n v="30"/>
    <n v="6.1"/>
    <n v="0"/>
    <n v="21"/>
    <n v="2"/>
    <n v="4"/>
    <x v="1"/>
    <x v="0"/>
    <n v="0"/>
    <n v="0.9375"/>
    <n v="1"/>
    <n v="2.4736842105263102"/>
    <n v="4.6534653465346496"/>
    <n v="4"/>
    <n v="3.6613636363636299"/>
  </r>
  <r>
    <s v="T0142"/>
    <x v="3"/>
    <d v="2025-01-05T00:00:00"/>
    <s v="Sunday"/>
    <d v="1899-12-30T17:00:00"/>
    <x v="17"/>
    <n v="48"/>
    <n v="42"/>
    <n v="8.1999999999999993"/>
    <n v="15"/>
    <s v="Central"/>
    <n v="0"/>
    <x v="0"/>
    <n v="25"/>
    <n v="25"/>
    <n v="0.5"/>
    <n v="0"/>
    <n v="17"/>
    <n v="1"/>
    <n v="6"/>
    <x v="0"/>
    <x v="1"/>
    <n v="0"/>
    <n v="1"/>
    <n v="0"/>
    <n v="3.2"/>
    <n v="5.8536585365853604"/>
    <n v="6"/>
    <n v="3.6937500000000001"/>
  </r>
  <r>
    <s v="T0391"/>
    <x v="7"/>
    <d v="2025-01-20T00:00:00"/>
    <s v="Monday"/>
    <d v="1899-12-30T20:15:00"/>
    <x v="18"/>
    <n v="39"/>
    <n v="35"/>
    <n v="11.6"/>
    <n v="21"/>
    <s v="West"/>
    <n v="0"/>
    <x v="0"/>
    <n v="25"/>
    <n v="25"/>
    <n v="2.8"/>
    <n v="1"/>
    <n v="20"/>
    <n v="1"/>
    <n v="0"/>
    <x v="1"/>
    <x v="0"/>
    <n v="0"/>
    <n v="1"/>
    <n v="0"/>
    <n v="1.8571428571428501"/>
    <n v="3.3620689655172402"/>
    <n v="4"/>
    <n v="2.80217391304347"/>
  </r>
  <r>
    <s v="T0394"/>
    <x v="4"/>
    <d v="2025-01-09T00:00:00"/>
    <s v="Thursday"/>
    <d v="1899-12-30T05:15:00"/>
    <x v="3"/>
    <n v="122.625"/>
    <n v="31"/>
    <n v="14.2"/>
    <n v="25"/>
    <s v="East"/>
    <n v="0"/>
    <x v="0"/>
    <n v="19"/>
    <n v="17"/>
    <n v="9.9"/>
    <n v="0"/>
    <n v="5"/>
    <n v="1"/>
    <n v="3"/>
    <x v="1"/>
    <x v="0"/>
    <n v="0"/>
    <n v="0.89473684210526305"/>
    <n v="1"/>
    <n v="4.9050000000000002"/>
    <n v="8.63556338028169"/>
    <n v="91.625"/>
    <n v="8.3255319148936096"/>
  </r>
  <r>
    <s v="T0101"/>
    <x v="5"/>
    <d v="2025-01-05T00:00:00"/>
    <s v="Sunday"/>
    <d v="1899-12-30T09:15:00"/>
    <x v="1"/>
    <n v="65"/>
    <n v="60"/>
    <n v="12.5"/>
    <n v="22"/>
    <s v="Central"/>
    <n v="0"/>
    <x v="0"/>
    <n v="19"/>
    <n v="18"/>
    <n v="4.4000000000000004"/>
    <n v="0"/>
    <n v="9"/>
    <n v="1"/>
    <n v="6"/>
    <x v="0"/>
    <x v="2"/>
    <n v="0"/>
    <n v="0.94736842105263097"/>
    <n v="0"/>
    <n v="2.9545454545454501"/>
    <n v="5.2"/>
    <n v="5"/>
    <n v="3.4760869565217298"/>
  </r>
  <r>
    <s v="T0445"/>
    <x v="4"/>
    <d v="2025-02-09T00:00:00"/>
    <s v="Sunday"/>
    <d v="1899-12-30T17:00:00"/>
    <x v="0"/>
    <n v="61"/>
    <n v="55"/>
    <n v="14.2"/>
    <n v="25"/>
    <s v="East"/>
    <n v="0"/>
    <x v="0"/>
    <n v="37"/>
    <n v="31"/>
    <n v="12.3"/>
    <n v="0"/>
    <n v="17"/>
    <n v="2"/>
    <n v="6"/>
    <x v="0"/>
    <x v="1"/>
    <n v="0"/>
    <n v="0.83783783783783705"/>
    <n v="1"/>
    <n v="2.44"/>
    <n v="4.2957746478873204"/>
    <n v="6"/>
    <n v="8.3255319148936096"/>
  </r>
  <r>
    <s v="T0227"/>
    <x v="7"/>
    <d v="2025-02-21T00:00:00"/>
    <s v="Friday"/>
    <d v="1899-12-30T07:00:00"/>
    <x v="0"/>
    <n v="92"/>
    <n v="84"/>
    <n v="11.6"/>
    <n v="21"/>
    <s v="West"/>
    <n v="0"/>
    <x v="0"/>
    <n v="22"/>
    <n v="21"/>
    <n v="0.2"/>
    <n v="0"/>
    <n v="7"/>
    <n v="2"/>
    <n v="4"/>
    <x v="1"/>
    <x v="2"/>
    <n v="0"/>
    <n v="0.95454545454545403"/>
    <n v="0"/>
    <n v="4.3809523809523796"/>
    <n v="7.9310344827586201"/>
    <n v="8"/>
    <n v="2.80217391304347"/>
  </r>
  <r>
    <s v="T0282"/>
    <x v="9"/>
    <d v="2025-01-18T00:00:00"/>
    <s v="Saturday"/>
    <d v="1899-12-30T22:45:00"/>
    <x v="2"/>
    <n v="56"/>
    <n v="49"/>
    <n v="15"/>
    <n v="28"/>
    <s v="North"/>
    <n v="0"/>
    <x v="3"/>
    <n v="30"/>
    <n v="28"/>
    <n v="9.1"/>
    <n v="0"/>
    <n v="22"/>
    <n v="1"/>
    <n v="5"/>
    <x v="0"/>
    <x v="0"/>
    <n v="1"/>
    <n v="0.93333333333333302"/>
    <n v="1"/>
    <n v="2"/>
    <n v="3.7333333333333298"/>
    <n v="7"/>
    <n v="9.4749999999999996"/>
  </r>
  <r>
    <s v="T0495"/>
    <x v="6"/>
    <d v="2025-01-04T00:00:00"/>
    <s v="Saturday"/>
    <d v="1899-12-30T12:30:00"/>
    <x v="22"/>
    <n v="26"/>
    <n v="25"/>
    <n v="6.8"/>
    <n v="12"/>
    <s v="South"/>
    <n v="0"/>
    <x v="0"/>
    <n v="20"/>
    <n v="19"/>
    <n v="2.8"/>
    <n v="1"/>
    <n v="12"/>
    <n v="1"/>
    <n v="5"/>
    <x v="0"/>
    <x v="0"/>
    <n v="0"/>
    <n v="0.95"/>
    <n v="0"/>
    <n v="2.1666666666666599"/>
    <n v="3.8235294117646998"/>
    <n v="1"/>
    <n v="2.7611111111111102"/>
  </r>
  <r>
    <s v="T0033"/>
    <x v="5"/>
    <d v="2025-01-18T00:00:00"/>
    <s v="Saturday"/>
    <d v="1899-12-30T06:15:00"/>
    <x v="11"/>
    <n v="57"/>
    <n v="54"/>
    <n v="12.5"/>
    <n v="22"/>
    <s v="Central"/>
    <n v="0"/>
    <x v="3"/>
    <n v="28"/>
    <n v="28"/>
    <n v="5.8"/>
    <n v="0"/>
    <n v="6"/>
    <n v="1"/>
    <n v="5"/>
    <x v="0"/>
    <x v="0"/>
    <n v="1"/>
    <n v="1"/>
    <n v="1"/>
    <n v="2.5909090909090899"/>
    <n v="4.5599999999999996"/>
    <n v="3"/>
    <n v="3.4760869565217298"/>
  </r>
  <r>
    <s v="T0298"/>
    <x v="3"/>
    <d v="2025-02-21T00:00:00"/>
    <s v="Friday"/>
    <d v="1899-12-30T14:00:00"/>
    <x v="0"/>
    <n v="38"/>
    <n v="33"/>
    <n v="8.1999999999999993"/>
    <n v="15"/>
    <s v="Central"/>
    <n v="0"/>
    <x v="0"/>
    <n v="36"/>
    <n v="36"/>
    <n v="0.5"/>
    <n v="0"/>
    <n v="14"/>
    <n v="2"/>
    <n v="4"/>
    <x v="1"/>
    <x v="0"/>
    <n v="0"/>
    <n v="1"/>
    <n v="0"/>
    <n v="2.5333333333333301"/>
    <n v="4.6341463414634099"/>
    <n v="5"/>
    <n v="3.6937500000000001"/>
  </r>
  <r>
    <s v="T0250"/>
    <x v="4"/>
    <d v="2025-02-12T00:00:00"/>
    <s v="Wednesday"/>
    <d v="1899-12-30T14:15:00"/>
    <x v="5"/>
    <n v="50"/>
    <n v="46"/>
    <n v="14.2"/>
    <n v="25"/>
    <s v="East"/>
    <n v="0"/>
    <x v="0"/>
    <n v="22"/>
    <n v="21"/>
    <n v="5.4"/>
    <n v="0"/>
    <n v="14"/>
    <n v="2"/>
    <n v="2"/>
    <x v="1"/>
    <x v="0"/>
    <n v="0"/>
    <n v="0.95454545454545403"/>
    <n v="1"/>
    <n v="2"/>
    <n v="3.52112676056338"/>
    <n v="4"/>
    <n v="8.3255319148936096"/>
  </r>
  <r>
    <s v="T0475"/>
    <x v="2"/>
    <d v="2025-01-08T00:00:00"/>
    <s v="Wednesday"/>
    <d v="1899-12-30T07:00:00"/>
    <x v="20"/>
    <n v="101"/>
    <n v="92"/>
    <n v="18.399999999999999"/>
    <n v="32"/>
    <s v="East"/>
    <n v="0"/>
    <x v="0"/>
    <n v="25"/>
    <n v="24"/>
    <n v="8.8000000000000007"/>
    <n v="1"/>
    <n v="7"/>
    <n v="1"/>
    <n v="2"/>
    <x v="1"/>
    <x v="2"/>
    <n v="0"/>
    <n v="0.96"/>
    <n v="1"/>
    <n v="3.15625"/>
    <n v="5.4891304347826004"/>
    <n v="9"/>
    <n v="8.6013888888888896"/>
  </r>
  <r>
    <s v="T0181"/>
    <x v="9"/>
    <d v="2025-01-03T00:00:00"/>
    <s v="Friday"/>
    <d v="1899-12-30T08:30:00"/>
    <x v="13"/>
    <n v="82"/>
    <n v="79"/>
    <n v="15"/>
    <n v="28"/>
    <s v="North"/>
    <n v="0"/>
    <x v="0"/>
    <n v="29"/>
    <n v="26"/>
    <n v="8.6"/>
    <n v="0"/>
    <n v="8"/>
    <n v="1"/>
    <n v="4"/>
    <x v="1"/>
    <x v="2"/>
    <n v="0"/>
    <n v="0.89655172413793105"/>
    <n v="1"/>
    <n v="2.9285714285714199"/>
    <n v="5.4666666666666597"/>
    <n v="3"/>
    <n v="9.4749999999999996"/>
  </r>
  <r>
    <s v="T0313"/>
    <x v="5"/>
    <d v="2025-01-06T00:00:00"/>
    <s v="Monday"/>
    <d v="1899-12-30T17:45:00"/>
    <x v="17"/>
    <n v="78"/>
    <n v="76"/>
    <n v="12.5"/>
    <n v="22"/>
    <s v="Central"/>
    <n v="0"/>
    <x v="0"/>
    <n v="38"/>
    <n v="35"/>
    <n v="5.9"/>
    <n v="0"/>
    <n v="17"/>
    <n v="1"/>
    <n v="0"/>
    <x v="1"/>
    <x v="1"/>
    <n v="0"/>
    <n v="0.92105263157894701"/>
    <n v="1"/>
    <n v="3.5454545454545401"/>
    <n v="6.24"/>
    <n v="2"/>
    <n v="3.4760869565217298"/>
  </r>
  <r>
    <s v="T0354"/>
    <x v="3"/>
    <d v="2025-02-14T00:00:00"/>
    <s v="Friday"/>
    <d v="1899-12-30T06:00:00"/>
    <x v="19"/>
    <n v="49"/>
    <n v="48"/>
    <n v="8.1999999999999993"/>
    <n v="15"/>
    <s v="Central"/>
    <n v="0"/>
    <x v="0"/>
    <n v="36"/>
    <n v="34"/>
    <n v="0.9"/>
    <n v="0"/>
    <n v="6"/>
    <n v="2"/>
    <n v="4"/>
    <x v="1"/>
    <x v="0"/>
    <n v="0"/>
    <n v="0.94444444444444398"/>
    <n v="0"/>
    <n v="3.2666666666666599"/>
    <n v="5.9756097560975601"/>
    <n v="1"/>
    <n v="3.6937500000000001"/>
  </r>
  <r>
    <s v="T0067"/>
    <x v="5"/>
    <d v="2025-01-10T00:00:00"/>
    <s v="Friday"/>
    <d v="1899-12-30T15:00:00"/>
    <x v="17"/>
    <n v="54"/>
    <n v="53"/>
    <n v="12.5"/>
    <n v="22"/>
    <s v="Central"/>
    <n v="0"/>
    <x v="0"/>
    <n v="22"/>
    <n v="22"/>
    <n v="4.5"/>
    <n v="0"/>
    <n v="15"/>
    <n v="1"/>
    <n v="4"/>
    <x v="1"/>
    <x v="0"/>
    <n v="0"/>
    <n v="1"/>
    <n v="0"/>
    <n v="2.4545454545454501"/>
    <n v="4.32"/>
    <n v="1"/>
    <n v="3.4760869565217298"/>
  </r>
  <r>
    <s v="T0085"/>
    <x v="9"/>
    <d v="2025-01-28T00:00:00"/>
    <s v="Tuesday"/>
    <d v="1899-12-30T12:30:00"/>
    <x v="7"/>
    <n v="45"/>
    <n v="41"/>
    <n v="15"/>
    <n v="28"/>
    <s v="North"/>
    <n v="0"/>
    <x v="0"/>
    <n v="18"/>
    <n v="15"/>
    <n v="16.2"/>
    <n v="0"/>
    <n v="12"/>
    <n v="1"/>
    <n v="1"/>
    <x v="1"/>
    <x v="0"/>
    <n v="0"/>
    <n v="0.83333333333333304"/>
    <n v="1"/>
    <n v="1.6071428571428501"/>
    <n v="3"/>
    <n v="4"/>
    <n v="9.4749999999999996"/>
  </r>
  <r>
    <s v="T0041"/>
    <x v="5"/>
    <d v="2025-01-22T00:00:00"/>
    <s v="Wednesday"/>
    <d v="1899-12-30T19:15:00"/>
    <x v="19"/>
    <n v="85"/>
    <n v="75"/>
    <n v="12.5"/>
    <n v="22"/>
    <s v="Central"/>
    <n v="0"/>
    <x v="0"/>
    <n v="22"/>
    <n v="21"/>
    <n v="5.6"/>
    <n v="0"/>
    <n v="19"/>
    <n v="1"/>
    <n v="2"/>
    <x v="1"/>
    <x v="1"/>
    <n v="0"/>
    <n v="0.95454545454545403"/>
    <n v="1"/>
    <n v="3.8636363636363602"/>
    <n v="6.8"/>
    <n v="10"/>
    <n v="3.4760869565217298"/>
  </r>
  <r>
    <s v="T0110"/>
    <x v="5"/>
    <d v="2025-01-15T00:00:00"/>
    <s v="Wednesday"/>
    <d v="1899-12-30T18:00:00"/>
    <x v="17"/>
    <n v="81"/>
    <n v="72"/>
    <n v="12.5"/>
    <n v="22"/>
    <s v="Central"/>
    <n v="0"/>
    <x v="0"/>
    <n v="25"/>
    <n v="24"/>
    <n v="2.7"/>
    <n v="1"/>
    <n v="18"/>
    <n v="1"/>
    <n v="2"/>
    <x v="1"/>
    <x v="1"/>
    <n v="0"/>
    <n v="0.96"/>
    <n v="0"/>
    <n v="3.6818181818181799"/>
    <n v="6.48"/>
    <n v="9"/>
    <n v="3.4760869565217298"/>
  </r>
  <r>
    <s v="T0284"/>
    <x v="5"/>
    <d v="2025-02-05T00:00:00"/>
    <s v="Wednesday"/>
    <d v="1899-12-30T08:30:00"/>
    <x v="18"/>
    <n v="88"/>
    <n v="84"/>
    <n v="12.5"/>
    <n v="22"/>
    <s v="Central"/>
    <n v="0"/>
    <x v="0"/>
    <n v="28"/>
    <n v="28"/>
    <n v="1.1000000000000001"/>
    <n v="0"/>
    <n v="8"/>
    <n v="2"/>
    <n v="2"/>
    <x v="1"/>
    <x v="2"/>
    <n v="0"/>
    <n v="1"/>
    <n v="0"/>
    <n v="4"/>
    <n v="7.04"/>
    <n v="4"/>
    <n v="3.4760869565217298"/>
  </r>
  <r>
    <s v="T0042"/>
    <x v="2"/>
    <d v="2025-02-28T00:00:00"/>
    <s v="Friday"/>
    <d v="1899-12-30T07:00:00"/>
    <x v="4"/>
    <n v="122"/>
    <n v="106"/>
    <n v="18.399999999999999"/>
    <n v="32"/>
    <s v="East"/>
    <n v="0"/>
    <x v="0"/>
    <n v="23"/>
    <n v="20"/>
    <n v="11"/>
    <n v="0"/>
    <n v="7"/>
    <n v="2"/>
    <n v="4"/>
    <x v="1"/>
    <x v="2"/>
    <n v="0"/>
    <n v="0.86956521739130399"/>
    <n v="1"/>
    <n v="3.8125"/>
    <n v="6.63043478260869"/>
    <n v="16"/>
    <n v="8.6013888888888896"/>
  </r>
  <r>
    <s v="T0231"/>
    <x v="4"/>
    <d v="2025-01-22T00:00:00"/>
    <s v="Wednesday"/>
    <d v="1899-12-30T17:45:00"/>
    <x v="20"/>
    <n v="101"/>
    <n v="91"/>
    <n v="14.2"/>
    <n v="25"/>
    <s v="East"/>
    <n v="0"/>
    <x v="0"/>
    <n v="35"/>
    <n v="31"/>
    <n v="9.8000000000000007"/>
    <n v="0"/>
    <n v="17"/>
    <n v="1"/>
    <n v="2"/>
    <x v="1"/>
    <x v="1"/>
    <n v="0"/>
    <n v="0.88571428571428501"/>
    <n v="1"/>
    <n v="4.04"/>
    <n v="7.11267605633802"/>
    <n v="10"/>
    <n v="8.3255319148936096"/>
  </r>
  <r>
    <s v="T0486"/>
    <x v="8"/>
    <d v="2025-02-05T00:00:00"/>
    <s v="Wednesday"/>
    <d v="1899-12-30T15:15:00"/>
    <x v="3"/>
    <n v="35"/>
    <n v="33"/>
    <n v="7.3"/>
    <n v="13"/>
    <s v="South"/>
    <n v="0"/>
    <x v="0"/>
    <n v="27"/>
    <n v="27"/>
    <n v="1.6"/>
    <n v="0"/>
    <n v="15"/>
    <n v="2"/>
    <n v="2"/>
    <x v="1"/>
    <x v="0"/>
    <n v="0"/>
    <n v="1"/>
    <n v="0"/>
    <n v="2.6923076923076898"/>
    <n v="4.7945205479451998"/>
    <n v="2"/>
    <n v="4.0518518518518496"/>
  </r>
  <r>
    <s v="T0371"/>
    <x v="5"/>
    <d v="2025-02-07T00:00:00"/>
    <s v="Friday"/>
    <d v="1899-12-30T18:30:00"/>
    <x v="3"/>
    <n v="122.625"/>
    <n v="89"/>
    <n v="12.5"/>
    <n v="22"/>
    <s v="Central"/>
    <n v="0"/>
    <x v="0"/>
    <n v="37"/>
    <n v="35"/>
    <n v="2.4"/>
    <n v="0"/>
    <n v="18"/>
    <n v="2"/>
    <n v="4"/>
    <x v="1"/>
    <x v="1"/>
    <n v="0"/>
    <n v="0.94594594594594505"/>
    <n v="0"/>
    <n v="5.5738636363636296"/>
    <n v="9.81"/>
    <n v="33.625"/>
    <n v="3.4760869565217298"/>
  </r>
  <r>
    <s v="T0420"/>
    <x v="1"/>
    <d v="2025-02-09T00:00:00"/>
    <s v="Sunday"/>
    <d v="1899-12-30T16:15:00"/>
    <x v="14"/>
    <n v="30"/>
    <n v="29"/>
    <n v="9.5"/>
    <n v="17"/>
    <s v="North"/>
    <n v="0"/>
    <x v="0"/>
    <n v="31"/>
    <n v="30"/>
    <n v="4.5999999999999996"/>
    <n v="0"/>
    <n v="16"/>
    <n v="2"/>
    <n v="6"/>
    <x v="0"/>
    <x v="0"/>
    <n v="0"/>
    <n v="0.967741935483871"/>
    <n v="0"/>
    <n v="1.76470588235294"/>
    <n v="3.1578947368421"/>
    <n v="1"/>
    <n v="3.8470588235294101"/>
  </r>
  <r>
    <s v="T0472"/>
    <x v="7"/>
    <d v="2025-01-03T00:00:00"/>
    <s v="Friday"/>
    <d v="1899-12-30T07:15:00"/>
    <x v="6"/>
    <n v="95"/>
    <n v="88"/>
    <n v="11.6"/>
    <n v="21"/>
    <s v="West"/>
    <n v="0"/>
    <x v="0"/>
    <n v="35"/>
    <n v="34"/>
    <n v="4.5999999999999996"/>
    <n v="0"/>
    <n v="7"/>
    <n v="1"/>
    <n v="4"/>
    <x v="1"/>
    <x v="2"/>
    <n v="0"/>
    <n v="0.97142857142857097"/>
    <n v="0"/>
    <n v="4.5238095238095202"/>
    <n v="8.18965517241379"/>
    <n v="7"/>
    <n v="2.80217391304347"/>
  </r>
  <r>
    <s v="T0305"/>
    <x v="1"/>
    <d v="2025-01-06T00:00:00"/>
    <s v="Monday"/>
    <d v="1899-12-30T15:30:00"/>
    <x v="2"/>
    <n v="35"/>
    <n v="31"/>
    <n v="9.5"/>
    <n v="17"/>
    <s v="North"/>
    <n v="0"/>
    <x v="0"/>
    <n v="27"/>
    <n v="26"/>
    <n v="0.1"/>
    <n v="0"/>
    <n v="15"/>
    <n v="1"/>
    <n v="0"/>
    <x v="1"/>
    <x v="0"/>
    <n v="0"/>
    <n v="0.96296296296296202"/>
    <n v="0"/>
    <n v="2.0588235294117601"/>
    <n v="3.6842105263157801"/>
    <n v="4"/>
    <n v="3.8470588235294101"/>
  </r>
  <r>
    <s v="T0070"/>
    <x v="7"/>
    <d v="2025-01-17T00:00:00"/>
    <s v="Friday"/>
    <d v="1899-12-30T09:30:00"/>
    <x v="8"/>
    <n v="122.625"/>
    <n v="91"/>
    <n v="11.6"/>
    <n v="21"/>
    <s v="West"/>
    <n v="0"/>
    <x v="0"/>
    <n v="37"/>
    <n v="37"/>
    <n v="3.1"/>
    <n v="0"/>
    <n v="9"/>
    <n v="1"/>
    <n v="4"/>
    <x v="1"/>
    <x v="2"/>
    <n v="0"/>
    <n v="1"/>
    <n v="0"/>
    <n v="5.83928571428571"/>
    <n v="10.5711206896551"/>
    <n v="31.625"/>
    <n v="2.80217391304347"/>
  </r>
  <r>
    <s v="T0015"/>
    <x v="3"/>
    <d v="2025-01-18T00:00:00"/>
    <s v="Saturday"/>
    <d v="1899-12-30T16:30:00"/>
    <x v="18"/>
    <n v="34"/>
    <n v="31"/>
    <n v="8.1999999999999993"/>
    <n v="15"/>
    <s v="Central"/>
    <n v="0"/>
    <x v="3"/>
    <n v="26"/>
    <n v="26"/>
    <n v="8.3000000000000007"/>
    <n v="0"/>
    <n v="16"/>
    <n v="1"/>
    <n v="5"/>
    <x v="0"/>
    <x v="0"/>
    <n v="1"/>
    <n v="1"/>
    <n v="1"/>
    <n v="2.2666666666666599"/>
    <n v="4.1463414634146298"/>
    <n v="3"/>
    <n v="3.6937500000000001"/>
  </r>
  <r>
    <s v="T0259"/>
    <x v="2"/>
    <d v="2025-01-15T00:00:00"/>
    <s v="Wednesday"/>
    <d v="1899-12-30T16:00:00"/>
    <x v="15"/>
    <n v="57"/>
    <n v="57"/>
    <n v="18.399999999999999"/>
    <n v="32"/>
    <s v="East"/>
    <n v="0"/>
    <x v="0"/>
    <n v="30"/>
    <n v="26"/>
    <n v="5.7"/>
    <n v="0"/>
    <n v="16"/>
    <n v="1"/>
    <n v="2"/>
    <x v="1"/>
    <x v="0"/>
    <n v="0"/>
    <n v="0.86666666666666603"/>
    <n v="1"/>
    <n v="1.78125"/>
    <n v="3.0978260869565202"/>
    <n v="0"/>
    <n v="8.6013888888888896"/>
  </r>
  <r>
    <s v="T0433"/>
    <x v="2"/>
    <d v="2025-02-06T00:00:00"/>
    <s v="Thursday"/>
    <d v="1899-12-30T15:00:00"/>
    <x v="3"/>
    <n v="63"/>
    <n v="54"/>
    <n v="18.399999999999999"/>
    <n v="32"/>
    <s v="East"/>
    <n v="0"/>
    <x v="0"/>
    <n v="23"/>
    <n v="21"/>
    <n v="9.1999999999999993"/>
    <n v="0"/>
    <n v="15"/>
    <n v="2"/>
    <n v="3"/>
    <x v="1"/>
    <x v="0"/>
    <n v="0"/>
    <n v="0.91304347826086896"/>
    <n v="1"/>
    <n v="1.96875"/>
    <n v="3.4239130434782599"/>
    <n v="9"/>
    <n v="8.6013888888888896"/>
  </r>
  <r>
    <s v="T0353"/>
    <x v="0"/>
    <d v="2025-02-20T00:00:00"/>
    <s v="Thursday"/>
    <d v="1899-12-30T13:15:00"/>
    <x v="15"/>
    <n v="31"/>
    <n v="31"/>
    <n v="10.1"/>
    <n v="19"/>
    <s v="West"/>
    <n v="0"/>
    <x v="0"/>
    <n v="18"/>
    <n v="17"/>
    <n v="3.6"/>
    <n v="0"/>
    <n v="13"/>
    <n v="2"/>
    <n v="3"/>
    <x v="1"/>
    <x v="0"/>
    <n v="0"/>
    <n v="0.94444444444444398"/>
    <n v="0"/>
    <n v="1.6315789473684199"/>
    <n v="3.06930693069306"/>
    <n v="0"/>
    <n v="3.6613636363636299"/>
  </r>
  <r>
    <s v="T0233"/>
    <x v="2"/>
    <d v="2025-01-26T00:00:00"/>
    <s v="Sunday"/>
    <d v="1899-12-30T14:30:00"/>
    <x v="11"/>
    <n v="46"/>
    <n v="44"/>
    <n v="18.399999999999999"/>
    <n v="32"/>
    <s v="East"/>
    <n v="1"/>
    <x v="0"/>
    <n v="38"/>
    <n v="31"/>
    <n v="7.4"/>
    <n v="0"/>
    <n v="14"/>
    <n v="1"/>
    <n v="6"/>
    <x v="0"/>
    <x v="0"/>
    <n v="0"/>
    <n v="0.81578947368420995"/>
    <n v="1"/>
    <n v="1.4375"/>
    <n v="2.5"/>
    <n v="2"/>
    <n v="8.6013888888888896"/>
  </r>
  <r>
    <s v="T0368"/>
    <x v="8"/>
    <d v="2025-01-01T00:00:00"/>
    <s v="Wednesday"/>
    <d v="1899-12-30T18:00:00"/>
    <x v="18"/>
    <n v="73"/>
    <n v="68"/>
    <n v="7.3"/>
    <n v="13"/>
    <s v="South"/>
    <n v="1"/>
    <x v="0"/>
    <n v="30"/>
    <n v="29"/>
    <n v="2.2999999999999998"/>
    <n v="0"/>
    <n v="18"/>
    <n v="1"/>
    <n v="2"/>
    <x v="1"/>
    <x v="1"/>
    <n v="0"/>
    <n v="0.96666666666666601"/>
    <n v="0"/>
    <n v="5.6153846153846096"/>
    <n v="10"/>
    <n v="5"/>
    <n v="4.0518518518518496"/>
  </r>
  <r>
    <s v="T0013"/>
    <x v="4"/>
    <d v="2025-02-04T00:00:00"/>
    <s v="Tuesday"/>
    <d v="1899-12-30T15:30:00"/>
    <x v="11"/>
    <n v="40"/>
    <n v="36"/>
    <n v="14.2"/>
    <n v="25"/>
    <s v="East"/>
    <n v="0"/>
    <x v="0"/>
    <n v="19"/>
    <n v="16"/>
    <n v="2"/>
    <n v="0"/>
    <n v="15"/>
    <n v="2"/>
    <n v="1"/>
    <x v="1"/>
    <x v="0"/>
    <n v="0"/>
    <n v="0.84210526315789402"/>
    <n v="0"/>
    <n v="1.6"/>
    <n v="2.8169014084507"/>
    <n v="4"/>
    <n v="8.3255319148936096"/>
  </r>
  <r>
    <s v="T0292"/>
    <x v="5"/>
    <d v="2025-02-13T00:00:00"/>
    <s v="Thursday"/>
    <d v="1899-12-30T13:15:00"/>
    <x v="3"/>
    <n v="49"/>
    <n v="42"/>
    <n v="12.5"/>
    <n v="22"/>
    <s v="Central"/>
    <n v="0"/>
    <x v="0"/>
    <n v="32"/>
    <n v="32"/>
    <n v="9.5"/>
    <n v="0"/>
    <n v="13"/>
    <n v="2"/>
    <n v="3"/>
    <x v="1"/>
    <x v="0"/>
    <n v="0"/>
    <n v="1"/>
    <n v="1"/>
    <n v="2.22727272727272"/>
    <n v="3.92"/>
    <n v="7"/>
    <n v="3.4760869565217298"/>
  </r>
  <r>
    <s v="T0189"/>
    <x v="2"/>
    <d v="2025-01-21T00:00:00"/>
    <s v="Tuesday"/>
    <d v="1899-12-30T16:30:00"/>
    <x v="2"/>
    <n v="51"/>
    <n v="50"/>
    <n v="18.399999999999999"/>
    <n v="32"/>
    <s v="East"/>
    <n v="0"/>
    <x v="0"/>
    <n v="29"/>
    <n v="24"/>
    <n v="3.8"/>
    <n v="0"/>
    <n v="16"/>
    <n v="1"/>
    <n v="1"/>
    <x v="1"/>
    <x v="0"/>
    <n v="0"/>
    <n v="0.82758620689655105"/>
    <n v="0"/>
    <n v="1.59375"/>
    <n v="2.77173913043478"/>
    <n v="1"/>
    <n v="8.6013888888888896"/>
  </r>
  <r>
    <s v="T0151"/>
    <x v="8"/>
    <d v="2025-01-20T00:00:00"/>
    <s v="Monday"/>
    <d v="1899-12-30T21:00:00"/>
    <x v="18"/>
    <n v="31"/>
    <n v="27"/>
    <n v="7.3"/>
    <n v="13"/>
    <s v="South"/>
    <n v="0"/>
    <x v="0"/>
    <n v="39"/>
    <n v="39"/>
    <n v="7.9"/>
    <n v="0"/>
    <n v="21"/>
    <n v="1"/>
    <n v="0"/>
    <x v="1"/>
    <x v="0"/>
    <n v="0"/>
    <n v="1"/>
    <n v="1"/>
    <n v="2.3846153846153801"/>
    <n v="4.24657534246575"/>
    <n v="4"/>
    <n v="4.0518518518518496"/>
  </r>
  <r>
    <s v="T0476"/>
    <x v="7"/>
    <d v="2025-02-11T00:00:00"/>
    <s v="Tuesday"/>
    <d v="1899-12-30T12:15:00"/>
    <x v="13"/>
    <n v="47"/>
    <n v="43"/>
    <n v="11.6"/>
    <n v="21"/>
    <s v="West"/>
    <n v="0"/>
    <x v="0"/>
    <n v="18"/>
    <n v="17"/>
    <n v="2.9"/>
    <n v="0"/>
    <n v="12"/>
    <n v="2"/>
    <n v="1"/>
    <x v="1"/>
    <x v="0"/>
    <n v="0"/>
    <n v="0.94444444444444398"/>
    <n v="0"/>
    <n v="2.2380952380952301"/>
    <n v="4.0517241379310303"/>
    <n v="4"/>
    <n v="2.80217391304347"/>
  </r>
  <r>
    <s v="T0038"/>
    <x v="5"/>
    <d v="2025-01-21T00:00:00"/>
    <s v="Tuesday"/>
    <d v="1899-12-30T07:00:00"/>
    <x v="18"/>
    <n v="73"/>
    <n v="71"/>
    <n v="12.5"/>
    <n v="22"/>
    <s v="Central"/>
    <n v="0"/>
    <x v="0"/>
    <n v="30"/>
    <n v="28"/>
    <n v="1.8"/>
    <n v="0"/>
    <n v="7"/>
    <n v="1"/>
    <n v="1"/>
    <x v="1"/>
    <x v="2"/>
    <n v="0"/>
    <n v="0.93333333333333302"/>
    <n v="0"/>
    <n v="3.3181818181818099"/>
    <n v="5.84"/>
    <n v="2"/>
    <n v="3.4760869565217298"/>
  </r>
  <r>
    <s v="T0358"/>
    <x v="2"/>
    <d v="2025-01-26T00:00:00"/>
    <s v="Sunday"/>
    <d v="1899-12-30T19:15:00"/>
    <x v="13"/>
    <n v="64"/>
    <n v="55"/>
    <n v="18.399999999999999"/>
    <n v="32"/>
    <s v="East"/>
    <n v="1"/>
    <x v="0"/>
    <n v="38"/>
    <n v="31"/>
    <n v="7.4"/>
    <n v="0"/>
    <n v="19"/>
    <n v="1"/>
    <n v="6"/>
    <x v="0"/>
    <x v="1"/>
    <n v="0"/>
    <n v="0.81578947368420995"/>
    <n v="1"/>
    <n v="2"/>
    <n v="3.4782608695652102"/>
    <n v="9"/>
    <n v="8.6013888888888896"/>
  </r>
  <r>
    <s v="T0003"/>
    <x v="1"/>
    <d v="2025-01-09T00:00:00"/>
    <s v="Thursday"/>
    <d v="1899-12-30T14:15:00"/>
    <x v="1"/>
    <n v="34"/>
    <n v="33"/>
    <n v="9.5"/>
    <n v="17"/>
    <s v="North"/>
    <n v="0"/>
    <x v="0"/>
    <n v="39"/>
    <n v="39"/>
    <n v="9.1"/>
    <n v="0"/>
    <n v="14"/>
    <n v="1"/>
    <n v="3"/>
    <x v="1"/>
    <x v="0"/>
    <n v="0"/>
    <n v="1"/>
    <n v="1"/>
    <n v="2"/>
    <n v="3.57894736842105"/>
    <n v="1"/>
    <n v="3.8470588235294101"/>
  </r>
  <r>
    <s v="T0026"/>
    <x v="4"/>
    <d v="2025-02-14T00:00:00"/>
    <s v="Friday"/>
    <d v="1899-12-30T07:15:00"/>
    <x v="15"/>
    <n v="103"/>
    <n v="93"/>
    <n v="14.2"/>
    <n v="25"/>
    <s v="East"/>
    <n v="0"/>
    <x v="0"/>
    <n v="26"/>
    <n v="23"/>
    <n v="6.4"/>
    <n v="0"/>
    <n v="7"/>
    <n v="2"/>
    <n v="4"/>
    <x v="1"/>
    <x v="2"/>
    <n v="0"/>
    <n v="0.88461538461538403"/>
    <n v="1"/>
    <n v="4.12"/>
    <n v="7.2535211267605604"/>
    <n v="10"/>
    <n v="8.3255319148936096"/>
  </r>
  <r>
    <s v="T0464"/>
    <x v="2"/>
    <d v="2025-02-22T00:00:00"/>
    <s v="Saturday"/>
    <d v="1899-12-30T16:15:00"/>
    <x v="18"/>
    <n v="54"/>
    <n v="53"/>
    <n v="18.399999999999999"/>
    <n v="32"/>
    <s v="East"/>
    <n v="0"/>
    <x v="2"/>
    <n v="37"/>
    <n v="30"/>
    <n v="8.8000000000000007"/>
    <n v="1"/>
    <n v="16"/>
    <n v="2"/>
    <n v="5"/>
    <x v="0"/>
    <x v="0"/>
    <n v="1"/>
    <n v="0.81081081081080997"/>
    <n v="1"/>
    <n v="1.6875"/>
    <n v="2.9347826086956501"/>
    <n v="1"/>
    <n v="8.6013888888888896"/>
  </r>
  <r>
    <s v="T0121"/>
    <x v="4"/>
    <d v="2025-02-07T00:00:00"/>
    <s v="Friday"/>
    <d v="1899-12-30T16:00:00"/>
    <x v="18"/>
    <n v="43"/>
    <n v="39"/>
    <n v="14.2"/>
    <n v="25"/>
    <s v="East"/>
    <n v="0"/>
    <x v="0"/>
    <n v="24"/>
    <n v="19"/>
    <n v="21.4"/>
    <n v="0"/>
    <n v="16"/>
    <n v="2"/>
    <n v="4"/>
    <x v="1"/>
    <x v="0"/>
    <n v="0"/>
    <n v="0.79166666666666596"/>
    <n v="1"/>
    <n v="1.72"/>
    <n v="3.0281690140844999"/>
    <n v="4"/>
    <n v="8.3255319148936096"/>
  </r>
  <r>
    <s v="T0290"/>
    <x v="2"/>
    <d v="2025-02-09T00:00:00"/>
    <s v="Sunday"/>
    <d v="1899-12-30T07:15:00"/>
    <x v="3"/>
    <n v="96"/>
    <n v="87"/>
    <n v="18.399999999999999"/>
    <n v="32"/>
    <s v="East"/>
    <n v="0"/>
    <x v="0"/>
    <n v="18"/>
    <n v="16"/>
    <n v="7.5"/>
    <n v="0"/>
    <n v="7"/>
    <n v="2"/>
    <n v="6"/>
    <x v="0"/>
    <x v="2"/>
    <n v="0"/>
    <n v="0.88888888888888795"/>
    <n v="1"/>
    <n v="3"/>
    <n v="5.2173913043478199"/>
    <n v="9"/>
    <n v="8.6013888888888896"/>
  </r>
  <r>
    <s v="T0397"/>
    <x v="4"/>
    <d v="2025-01-11T00:00:00"/>
    <s v="Saturday"/>
    <d v="1899-12-30T19:30:00"/>
    <x v="5"/>
    <n v="90"/>
    <n v="79"/>
    <n v="14.2"/>
    <n v="25"/>
    <s v="East"/>
    <n v="0"/>
    <x v="1"/>
    <n v="35"/>
    <n v="31"/>
    <n v="11.4"/>
    <n v="0"/>
    <n v="19"/>
    <n v="1"/>
    <n v="5"/>
    <x v="0"/>
    <x v="1"/>
    <n v="1"/>
    <n v="0.88571428571428501"/>
    <n v="1"/>
    <n v="3.6"/>
    <n v="6.3380281690140796"/>
    <n v="11"/>
    <n v="8.3255319148936096"/>
  </r>
  <r>
    <s v="T0363"/>
    <x v="6"/>
    <d v="2025-02-02T00:00:00"/>
    <s v="Sunday"/>
    <d v="1899-12-30T16:30:00"/>
    <x v="4"/>
    <n v="29"/>
    <n v="27"/>
    <n v="6.8"/>
    <n v="12"/>
    <s v="South"/>
    <n v="0"/>
    <x v="0"/>
    <n v="37"/>
    <n v="35"/>
    <n v="3"/>
    <n v="0"/>
    <n v="16"/>
    <n v="2"/>
    <n v="6"/>
    <x v="0"/>
    <x v="0"/>
    <n v="0"/>
    <n v="0.94594594594594505"/>
    <n v="0"/>
    <n v="2.4166666666666599"/>
    <n v="4.2647058823529402"/>
    <n v="2"/>
    <n v="2.7611111111111102"/>
  </r>
  <r>
    <s v="T0481"/>
    <x v="0"/>
    <d v="2025-02-02T00:00:00"/>
    <s v="Sunday"/>
    <d v="1899-12-30T19:45:00"/>
    <x v="0"/>
    <n v="57"/>
    <n v="52"/>
    <n v="10.1"/>
    <n v="19"/>
    <s v="West"/>
    <n v="0"/>
    <x v="0"/>
    <n v="23"/>
    <n v="22"/>
    <n v="2"/>
    <n v="0"/>
    <n v="19"/>
    <n v="2"/>
    <n v="6"/>
    <x v="0"/>
    <x v="1"/>
    <n v="0"/>
    <n v="0.95652173913043403"/>
    <n v="0"/>
    <n v="3"/>
    <n v="5.6435643564356397"/>
    <n v="5"/>
    <n v="3.6613636363636299"/>
  </r>
  <r>
    <s v="T0493"/>
    <x v="3"/>
    <d v="2025-02-24T00:00:00"/>
    <s v="Monday"/>
    <d v="1899-12-30T09:00:00"/>
    <x v="2"/>
    <n v="70"/>
    <n v="69"/>
    <n v="8.1999999999999993"/>
    <n v="15"/>
    <s v="Central"/>
    <n v="0"/>
    <x v="0"/>
    <n v="27"/>
    <n v="27"/>
    <n v="6.5"/>
    <n v="0"/>
    <n v="9"/>
    <n v="2"/>
    <n v="0"/>
    <x v="1"/>
    <x v="2"/>
    <n v="0"/>
    <n v="1"/>
    <n v="1"/>
    <n v="4.6666666666666599"/>
    <n v="8.5365853658536501"/>
    <n v="1"/>
    <n v="3.6937500000000001"/>
  </r>
  <r>
    <s v="T0229"/>
    <x v="8"/>
    <d v="2025-02-16T00:00:00"/>
    <s v="Sunday"/>
    <d v="1899-12-30T17:00:00"/>
    <x v="7"/>
    <n v="52"/>
    <n v="45"/>
    <n v="7.3"/>
    <n v="13"/>
    <s v="South"/>
    <n v="0"/>
    <x v="0"/>
    <n v="38"/>
    <n v="37"/>
    <n v="8.1"/>
    <n v="0"/>
    <n v="17"/>
    <n v="2"/>
    <n v="6"/>
    <x v="0"/>
    <x v="1"/>
    <n v="0"/>
    <n v="0.97368421052631504"/>
    <n v="1"/>
    <n v="4"/>
    <n v="7.1232876712328697"/>
    <n v="7"/>
    <n v="4.0518518518518496"/>
  </r>
  <r>
    <s v="T0376"/>
    <x v="9"/>
    <d v="2025-02-12T00:00:00"/>
    <s v="Wednesday"/>
    <d v="1899-12-30T14:45:00"/>
    <x v="5"/>
    <n v="64"/>
    <n v="63"/>
    <n v="15"/>
    <n v="28"/>
    <s v="North"/>
    <n v="0"/>
    <x v="0"/>
    <n v="21"/>
    <n v="18"/>
    <n v="8.5"/>
    <n v="0"/>
    <n v="14"/>
    <n v="2"/>
    <n v="2"/>
    <x v="1"/>
    <x v="0"/>
    <n v="0"/>
    <n v="0.85714285714285698"/>
    <n v="1"/>
    <n v="2.2857142857142798"/>
    <n v="4.2666666666666604"/>
    <n v="1"/>
    <n v="9.4749999999999996"/>
  </r>
  <r>
    <s v="T0201"/>
    <x v="0"/>
    <d v="2025-01-26T00:00:00"/>
    <s v="Sunday"/>
    <d v="1899-12-30T15:15:00"/>
    <x v="4"/>
    <n v="40"/>
    <n v="36"/>
    <n v="10.1"/>
    <n v="19"/>
    <s v="West"/>
    <n v="1"/>
    <x v="0"/>
    <n v="24"/>
    <n v="24"/>
    <n v="3.3"/>
    <n v="1"/>
    <n v="15"/>
    <n v="1"/>
    <n v="6"/>
    <x v="0"/>
    <x v="0"/>
    <n v="0"/>
    <n v="1"/>
    <n v="0"/>
    <n v="2.1052631578947301"/>
    <n v="3.9603960396039599"/>
    <n v="4"/>
    <n v="3.6613636363636299"/>
  </r>
  <r>
    <s v="T0491"/>
    <x v="6"/>
    <d v="2025-02-06T00:00:00"/>
    <s v="Thursday"/>
    <d v="1899-12-30T07:30:00"/>
    <x v="22"/>
    <n v="54"/>
    <n v="50"/>
    <n v="6.8"/>
    <n v="12"/>
    <s v="South"/>
    <n v="0"/>
    <x v="0"/>
    <n v="29"/>
    <n v="28"/>
    <n v="6.4"/>
    <n v="0"/>
    <n v="7"/>
    <n v="2"/>
    <n v="3"/>
    <x v="1"/>
    <x v="2"/>
    <n v="0"/>
    <n v="0.96551724137931005"/>
    <n v="1"/>
    <n v="4.5"/>
    <n v="7.9411764705882302"/>
    <n v="4"/>
    <n v="2.7611111111111102"/>
  </r>
  <r>
    <s v="T0054"/>
    <x v="8"/>
    <d v="2025-01-06T00:00:00"/>
    <s v="Monday"/>
    <d v="1899-12-30T17:15:00"/>
    <x v="18"/>
    <n v="50"/>
    <n v="47"/>
    <n v="7.3"/>
    <n v="13"/>
    <s v="South"/>
    <n v="0"/>
    <x v="0"/>
    <n v="23"/>
    <n v="22"/>
    <n v="2.9"/>
    <n v="0"/>
    <n v="17"/>
    <n v="1"/>
    <n v="0"/>
    <x v="1"/>
    <x v="1"/>
    <n v="0"/>
    <n v="0.95652173913043403"/>
    <n v="0"/>
    <n v="3.84615384615384"/>
    <n v="6.8493150684931496"/>
    <n v="3"/>
    <n v="4.0518518518518496"/>
  </r>
  <r>
    <s v="T0118"/>
    <x v="3"/>
    <d v="2025-02-07T00:00:00"/>
    <s v="Friday"/>
    <d v="1899-12-30T15:45:00"/>
    <x v="0"/>
    <n v="40"/>
    <n v="38"/>
    <n v="8.1999999999999993"/>
    <n v="15"/>
    <s v="Central"/>
    <n v="0"/>
    <x v="0"/>
    <n v="21"/>
    <n v="21"/>
    <n v="1.7"/>
    <n v="0"/>
    <n v="15"/>
    <n v="2"/>
    <n v="4"/>
    <x v="1"/>
    <x v="0"/>
    <n v="0"/>
    <n v="1"/>
    <n v="0"/>
    <n v="2.6666666666666599"/>
    <n v="4.8780487804878003"/>
    <n v="2"/>
    <n v="3.6937500000000001"/>
  </r>
  <r>
    <s v="T0345"/>
    <x v="9"/>
    <d v="2025-02-07T00:00:00"/>
    <s v="Friday"/>
    <d v="1899-12-30T15:45:00"/>
    <x v="10"/>
    <n v="54"/>
    <n v="52"/>
    <n v="15"/>
    <n v="28"/>
    <s v="North"/>
    <n v="0"/>
    <x v="0"/>
    <n v="23"/>
    <n v="19"/>
    <n v="6.8"/>
    <n v="0"/>
    <n v="15"/>
    <n v="2"/>
    <n v="4"/>
    <x v="1"/>
    <x v="0"/>
    <n v="0"/>
    <n v="0.82608695652173902"/>
    <n v="1"/>
    <n v="1.9285714285714199"/>
    <n v="3.6"/>
    <n v="2"/>
    <n v="9.4749999999999996"/>
  </r>
  <r>
    <s v="T0460"/>
    <x v="5"/>
    <d v="2025-02-16T00:00:00"/>
    <s v="Sunday"/>
    <d v="1899-12-30T16:15:00"/>
    <x v="3"/>
    <n v="34"/>
    <n v="33"/>
    <n v="12.5"/>
    <n v="22"/>
    <s v="Central"/>
    <n v="0"/>
    <x v="0"/>
    <n v="25"/>
    <n v="24"/>
    <n v="1.5"/>
    <n v="0"/>
    <n v="16"/>
    <n v="2"/>
    <n v="6"/>
    <x v="0"/>
    <x v="0"/>
    <n v="0"/>
    <n v="0.96"/>
    <n v="0"/>
    <n v="1.5454545454545401"/>
    <n v="2.72"/>
    <n v="1"/>
    <n v="3.4760869565217298"/>
  </r>
  <r>
    <s v="T0162"/>
    <x v="0"/>
    <d v="2025-01-11T00:00:00"/>
    <s v="Saturday"/>
    <d v="1899-12-30T11:45:00"/>
    <x v="0"/>
    <n v="59"/>
    <n v="53"/>
    <n v="10.1"/>
    <n v="19"/>
    <s v="West"/>
    <n v="0"/>
    <x v="1"/>
    <n v="27"/>
    <n v="26"/>
    <n v="3.4"/>
    <n v="0"/>
    <n v="11"/>
    <n v="1"/>
    <n v="5"/>
    <x v="0"/>
    <x v="0"/>
    <n v="1"/>
    <n v="0.96296296296296202"/>
    <n v="0"/>
    <n v="3.1052631578947301"/>
    <n v="5.8415841584158397"/>
    <n v="6"/>
    <n v="3.6613636363636299"/>
  </r>
  <r>
    <s v="T0277"/>
    <x v="4"/>
    <d v="2025-01-04T00:00:00"/>
    <s v="Saturday"/>
    <d v="1899-12-30T14:00:00"/>
    <x v="10"/>
    <n v="42"/>
    <n v="36"/>
    <n v="14.2"/>
    <n v="25"/>
    <s v="East"/>
    <n v="0"/>
    <x v="0"/>
    <n v="21"/>
    <n v="19"/>
    <n v="6.2"/>
    <n v="0"/>
    <n v="14"/>
    <n v="1"/>
    <n v="5"/>
    <x v="0"/>
    <x v="0"/>
    <n v="0"/>
    <n v="0.90476190476190399"/>
    <n v="1"/>
    <n v="1.68"/>
    <n v="2.9577464788732302"/>
    <n v="6"/>
    <n v="8.3255319148936096"/>
  </r>
  <r>
    <s v="T0410"/>
    <x v="5"/>
    <d v="2025-01-14T00:00:00"/>
    <s v="Tuesday"/>
    <d v="1899-12-30T07:45:00"/>
    <x v="1"/>
    <n v="75"/>
    <n v="72"/>
    <n v="12.5"/>
    <n v="22"/>
    <s v="Central"/>
    <n v="1"/>
    <x v="0"/>
    <n v="20"/>
    <n v="19"/>
    <n v="2"/>
    <n v="0"/>
    <n v="7"/>
    <n v="1"/>
    <n v="1"/>
    <x v="1"/>
    <x v="2"/>
    <n v="0"/>
    <n v="0.95"/>
    <n v="0"/>
    <n v="3.4090909090908998"/>
    <n v="6"/>
    <n v="3"/>
    <n v="3.4760869565217298"/>
  </r>
  <r>
    <s v="T0295"/>
    <x v="5"/>
    <d v="2025-02-10T00:00:00"/>
    <s v="Monday"/>
    <d v="1899-12-30T11:00:00"/>
    <x v="8"/>
    <n v="41"/>
    <n v="40"/>
    <n v="12.5"/>
    <n v="22"/>
    <s v="Central"/>
    <n v="0"/>
    <x v="0"/>
    <n v="38"/>
    <n v="37"/>
    <n v="1.2"/>
    <n v="0"/>
    <n v="11"/>
    <n v="2"/>
    <n v="0"/>
    <x v="1"/>
    <x v="0"/>
    <n v="0"/>
    <n v="0.97368421052631504"/>
    <n v="0"/>
    <n v="1.86363636363636"/>
    <n v="3.28"/>
    <n v="1"/>
    <n v="3.4760869565217298"/>
  </r>
  <r>
    <s v="T0453"/>
    <x v="6"/>
    <d v="2025-02-02T00:00:00"/>
    <s v="Sunday"/>
    <d v="1899-12-30T18:30:00"/>
    <x v="13"/>
    <n v="47"/>
    <n v="44"/>
    <n v="6.8"/>
    <n v="12"/>
    <s v="South"/>
    <n v="0"/>
    <x v="0"/>
    <n v="37"/>
    <n v="35"/>
    <n v="3"/>
    <n v="0"/>
    <n v="18"/>
    <n v="2"/>
    <n v="6"/>
    <x v="0"/>
    <x v="1"/>
    <n v="0"/>
    <n v="0.94594594594594505"/>
    <n v="0"/>
    <n v="3.9166666666666599"/>
    <n v="6.9117647058823497"/>
    <n v="3"/>
    <n v="2.7611111111111102"/>
  </r>
  <r>
    <s v="T0008"/>
    <x v="4"/>
    <d v="2025-01-28T00:00:00"/>
    <s v="Tuesday"/>
    <d v="1899-12-30T14:00:00"/>
    <x v="2"/>
    <n v="54"/>
    <n v="53"/>
    <n v="14.2"/>
    <n v="25"/>
    <s v="East"/>
    <n v="0"/>
    <x v="0"/>
    <n v="36"/>
    <n v="33"/>
    <n v="14.7"/>
    <n v="0"/>
    <n v="14"/>
    <n v="1"/>
    <n v="1"/>
    <x v="1"/>
    <x v="0"/>
    <n v="0"/>
    <n v="0.91666666666666596"/>
    <n v="1"/>
    <n v="2.16"/>
    <n v="3.8028169014084501"/>
    <n v="1"/>
    <n v="8.3255319148936096"/>
  </r>
  <r>
    <s v="T0315"/>
    <x v="4"/>
    <d v="2025-02-17T00:00:00"/>
    <s v="Monday"/>
    <d v="1899-12-30T15:15:00"/>
    <x v="20"/>
    <n v="54"/>
    <n v="51"/>
    <n v="14.2"/>
    <n v="25"/>
    <s v="East"/>
    <n v="0"/>
    <x v="0"/>
    <n v="38"/>
    <n v="34"/>
    <n v="6.6"/>
    <n v="0"/>
    <n v="15"/>
    <n v="2"/>
    <n v="0"/>
    <x v="1"/>
    <x v="0"/>
    <n v="0"/>
    <n v="0.89473684210526305"/>
    <n v="1"/>
    <n v="2.16"/>
    <n v="3.8028169014084501"/>
    <n v="3"/>
    <n v="8.3255319148936096"/>
  </r>
  <r>
    <s v="T0331"/>
    <x v="9"/>
    <d v="2025-01-24T00:00:00"/>
    <s v="Friday"/>
    <d v="1899-12-30T20:30:00"/>
    <x v="18"/>
    <n v="52"/>
    <n v="47"/>
    <n v="15"/>
    <n v="28"/>
    <s v="North"/>
    <n v="0"/>
    <x v="0"/>
    <n v="37"/>
    <n v="33"/>
    <n v="5.0999999999999996"/>
    <n v="0"/>
    <n v="20"/>
    <n v="1"/>
    <n v="4"/>
    <x v="1"/>
    <x v="0"/>
    <n v="0"/>
    <n v="0.891891891891891"/>
    <n v="1"/>
    <n v="1.8571428571428501"/>
    <n v="3.4666666666666601"/>
    <n v="5"/>
    <n v="9.4749999999999996"/>
  </r>
  <r>
    <s v="T0132"/>
    <x v="3"/>
    <d v="2025-02-07T00:00:00"/>
    <s v="Friday"/>
    <d v="1899-12-30T15:45:00"/>
    <x v="1"/>
    <n v="42"/>
    <n v="41"/>
    <n v="8.1999999999999993"/>
    <n v="15"/>
    <s v="Central"/>
    <n v="0"/>
    <x v="0"/>
    <n v="21"/>
    <n v="21"/>
    <n v="1.7"/>
    <n v="0"/>
    <n v="15"/>
    <n v="2"/>
    <n v="4"/>
    <x v="1"/>
    <x v="0"/>
    <n v="0"/>
    <n v="1"/>
    <n v="0"/>
    <n v="2.8"/>
    <n v="5.1219512195121899"/>
    <n v="1"/>
    <n v="3.6937500000000001"/>
  </r>
  <r>
    <s v="T0285"/>
    <x v="2"/>
    <d v="2025-02-16T00:00:00"/>
    <s v="Sunday"/>
    <d v="1899-12-30T10:15:00"/>
    <x v="0"/>
    <n v="44"/>
    <n v="40"/>
    <n v="18.399999999999999"/>
    <n v="32"/>
    <s v="East"/>
    <n v="0"/>
    <x v="0"/>
    <n v="25"/>
    <n v="23"/>
    <n v="9.4"/>
    <n v="0"/>
    <n v="10"/>
    <n v="2"/>
    <n v="6"/>
    <x v="0"/>
    <x v="0"/>
    <n v="0"/>
    <n v="0.92"/>
    <n v="1"/>
    <n v="1.375"/>
    <n v="2.3913043478260798"/>
    <n v="4"/>
    <n v="8.6013888888888896"/>
  </r>
  <r>
    <s v="T0236"/>
    <x v="1"/>
    <d v="2025-01-14T00:00:00"/>
    <s v="Tuesday"/>
    <d v="1899-12-30T16:30:00"/>
    <x v="7"/>
    <n v="47"/>
    <n v="44"/>
    <n v="9.5"/>
    <n v="17"/>
    <s v="North"/>
    <n v="1"/>
    <x v="0"/>
    <n v="24"/>
    <n v="23"/>
    <n v="4.0999999999999996"/>
    <n v="1"/>
    <n v="16"/>
    <n v="1"/>
    <n v="1"/>
    <x v="1"/>
    <x v="0"/>
    <n v="0"/>
    <n v="0.95833333333333304"/>
    <n v="0"/>
    <n v="2.7647058823529398"/>
    <n v="4.9473684210526301"/>
    <n v="3"/>
    <n v="3.8470588235294101"/>
  </r>
  <r>
    <s v="T0115"/>
    <x v="0"/>
    <d v="2025-01-11T00:00:00"/>
    <s v="Saturday"/>
    <d v="1899-12-30T14:15:00"/>
    <x v="20"/>
    <n v="59"/>
    <n v="50"/>
    <n v="10.1"/>
    <n v="19"/>
    <s v="West"/>
    <n v="0"/>
    <x v="1"/>
    <n v="27"/>
    <n v="26"/>
    <n v="3.4"/>
    <n v="0"/>
    <n v="14"/>
    <n v="1"/>
    <n v="5"/>
    <x v="0"/>
    <x v="0"/>
    <n v="1"/>
    <n v="0.96296296296296202"/>
    <n v="0"/>
    <n v="3.1052631578947301"/>
    <n v="5.8415841584158397"/>
    <n v="9"/>
    <n v="3.6613636363636299"/>
  </r>
  <r>
    <s v="T0443"/>
    <x v="9"/>
    <d v="2025-01-25T00:00:00"/>
    <s v="Saturday"/>
    <d v="1899-12-30T20:00:00"/>
    <x v="15"/>
    <n v="60"/>
    <n v="56"/>
    <n v="15"/>
    <n v="28"/>
    <s v="North"/>
    <n v="0"/>
    <x v="2"/>
    <n v="22"/>
    <n v="20"/>
    <n v="12.1"/>
    <n v="0"/>
    <n v="20"/>
    <n v="1"/>
    <n v="5"/>
    <x v="0"/>
    <x v="0"/>
    <n v="1"/>
    <n v="0.90909090909090895"/>
    <n v="1"/>
    <n v="2.1428571428571401"/>
    <n v="4"/>
    <n v="4"/>
    <n v="9.4749999999999996"/>
  </r>
  <r>
    <s v="T0069"/>
    <x v="5"/>
    <d v="2025-01-19T00:00:00"/>
    <s v="Sunday"/>
    <d v="1899-12-30T06:00:00"/>
    <x v="2"/>
    <n v="19"/>
    <n v="18"/>
    <n v="12.5"/>
    <n v="22"/>
    <s v="Central"/>
    <n v="0"/>
    <x v="0"/>
    <n v="29"/>
    <n v="27"/>
    <n v="2.7"/>
    <n v="1"/>
    <n v="6"/>
    <n v="1"/>
    <n v="6"/>
    <x v="0"/>
    <x v="0"/>
    <n v="0"/>
    <n v="0.93103448275862"/>
    <n v="0"/>
    <n v="0.86363636363636298"/>
    <n v="1.52"/>
    <n v="1"/>
    <n v="3.4760869565217298"/>
  </r>
  <r>
    <s v="T0306"/>
    <x v="7"/>
    <d v="2025-02-06T00:00:00"/>
    <s v="Thursday"/>
    <d v="1899-12-30T08:00:00"/>
    <x v="15"/>
    <n v="83"/>
    <n v="77"/>
    <n v="11.6"/>
    <n v="21"/>
    <s v="West"/>
    <n v="0"/>
    <x v="0"/>
    <n v="32"/>
    <n v="31"/>
    <n v="1.7"/>
    <n v="0"/>
    <n v="8"/>
    <n v="2"/>
    <n v="3"/>
    <x v="1"/>
    <x v="2"/>
    <n v="0"/>
    <n v="0.96875"/>
    <n v="0"/>
    <n v="3.9523809523809499"/>
    <n v="7.1551724137930997"/>
    <n v="6"/>
    <n v="2.80217391304347"/>
  </r>
  <r>
    <s v="T0382"/>
    <x v="0"/>
    <d v="2025-01-10T00:00:00"/>
    <s v="Friday"/>
    <d v="1899-12-30T07:30:00"/>
    <x v="18"/>
    <n v="73"/>
    <n v="68"/>
    <n v="10.1"/>
    <n v="19"/>
    <s v="West"/>
    <n v="0"/>
    <x v="0"/>
    <n v="39"/>
    <n v="37"/>
    <n v="5.2"/>
    <n v="0"/>
    <n v="7"/>
    <n v="1"/>
    <n v="4"/>
    <x v="1"/>
    <x v="2"/>
    <n v="0"/>
    <n v="0.94871794871794801"/>
    <n v="1"/>
    <n v="3.8421052631578898"/>
    <n v="7.2277227722772199"/>
    <n v="5"/>
    <n v="3.6613636363636299"/>
  </r>
  <r>
    <s v="T0347"/>
    <x v="0"/>
    <d v="2025-02-26T00:00:00"/>
    <s v="Wednesday"/>
    <d v="1899-12-30T06:00:00"/>
    <x v="22"/>
    <n v="44"/>
    <n v="38"/>
    <n v="10.1"/>
    <n v="19"/>
    <s v="West"/>
    <n v="0"/>
    <x v="0"/>
    <n v="36"/>
    <n v="35"/>
    <n v="2.2999999999999998"/>
    <n v="0"/>
    <n v="6"/>
    <n v="2"/>
    <n v="2"/>
    <x v="1"/>
    <x v="0"/>
    <n v="0"/>
    <n v="0.97222222222222199"/>
    <n v="0"/>
    <n v="2.3157894736842102"/>
    <n v="4.3564356435643496"/>
    <n v="6"/>
    <n v="3.6613636363636299"/>
  </r>
  <r>
    <s v="T0329"/>
    <x v="9"/>
    <d v="2025-02-06T00:00:00"/>
    <s v="Thursday"/>
    <d v="1899-12-30T10:30:00"/>
    <x v="2"/>
    <n v="45"/>
    <n v="41"/>
    <n v="15"/>
    <n v="28"/>
    <s v="North"/>
    <n v="0"/>
    <x v="0"/>
    <n v="34"/>
    <n v="32"/>
    <n v="10.3"/>
    <n v="0"/>
    <n v="10"/>
    <n v="2"/>
    <n v="3"/>
    <x v="1"/>
    <x v="0"/>
    <n v="0"/>
    <n v="0.94117647058823495"/>
    <n v="1"/>
    <n v="1.6071428571428501"/>
    <n v="3"/>
    <n v="4"/>
    <n v="9.4749999999999996"/>
  </r>
  <r>
    <s v="T0179"/>
    <x v="7"/>
    <d v="2025-01-03T00:00:00"/>
    <s v="Friday"/>
    <d v="1899-12-30T07:45:00"/>
    <x v="0"/>
    <n v="68"/>
    <n v="60"/>
    <n v="11.6"/>
    <n v="21"/>
    <s v="West"/>
    <n v="0"/>
    <x v="0"/>
    <n v="35"/>
    <n v="34"/>
    <n v="4.5999999999999996"/>
    <n v="0"/>
    <n v="7"/>
    <n v="1"/>
    <n v="4"/>
    <x v="1"/>
    <x v="2"/>
    <n v="0"/>
    <n v="0.97142857142857097"/>
    <n v="0"/>
    <n v="3.2380952380952301"/>
    <n v="5.8620689655172402"/>
    <n v="8"/>
    <n v="2.80217391304347"/>
  </r>
  <r>
    <s v="T0448"/>
    <x v="1"/>
    <d v="2025-02-09T00:00:00"/>
    <s v="Sunday"/>
    <d v="1899-12-30T09:00:00"/>
    <x v="1"/>
    <n v="52"/>
    <n v="47"/>
    <n v="9.5"/>
    <n v="17"/>
    <s v="North"/>
    <n v="0"/>
    <x v="0"/>
    <n v="31"/>
    <n v="30"/>
    <n v="4.5999999999999996"/>
    <n v="0"/>
    <n v="9"/>
    <n v="2"/>
    <n v="6"/>
    <x v="0"/>
    <x v="2"/>
    <n v="0"/>
    <n v="0.967741935483871"/>
    <n v="0"/>
    <n v="3.0588235294117601"/>
    <n v="5.4736842105263097"/>
    <n v="5"/>
    <n v="3.8470588235294101"/>
  </r>
  <r>
    <s v="T0283"/>
    <x v="9"/>
    <d v="2025-02-16T00:00:00"/>
    <s v="Sunday"/>
    <d v="1899-12-30T05:30:00"/>
    <x v="6"/>
    <n v="24"/>
    <n v="23"/>
    <n v="15"/>
    <n v="28"/>
    <s v="North"/>
    <n v="0"/>
    <x v="0"/>
    <n v="25"/>
    <n v="21"/>
    <n v="7.7"/>
    <n v="0"/>
    <n v="5"/>
    <n v="2"/>
    <n v="6"/>
    <x v="0"/>
    <x v="0"/>
    <n v="0"/>
    <n v="0.84"/>
    <n v="1"/>
    <n v="0.85714285714285698"/>
    <n v="1.6"/>
    <n v="1"/>
    <n v="9.4749999999999996"/>
  </r>
  <r>
    <s v="T0071"/>
    <x v="4"/>
    <d v="2025-01-21T00:00:00"/>
    <s v="Tuesday"/>
    <d v="1899-12-30T17:30:00"/>
    <x v="0"/>
    <n v="73"/>
    <n v="72"/>
    <n v="14.2"/>
    <n v="25"/>
    <s v="East"/>
    <n v="0"/>
    <x v="0"/>
    <n v="22"/>
    <n v="18"/>
    <n v="5.3"/>
    <n v="0"/>
    <n v="17"/>
    <n v="1"/>
    <n v="1"/>
    <x v="1"/>
    <x v="1"/>
    <n v="0"/>
    <n v="0.81818181818181801"/>
    <n v="1"/>
    <n v="2.92"/>
    <n v="5.1408450704225297"/>
    <n v="1"/>
    <n v="8.3255319148936096"/>
  </r>
  <r>
    <s v="T0418"/>
    <x v="9"/>
    <d v="2025-02-04T00:00:00"/>
    <s v="Tuesday"/>
    <d v="1899-12-30T17:15:00"/>
    <x v="4"/>
    <n v="105"/>
    <n v="103"/>
    <n v="15"/>
    <n v="28"/>
    <s v="North"/>
    <n v="0"/>
    <x v="0"/>
    <n v="39"/>
    <n v="37"/>
    <n v="3.4"/>
    <n v="0"/>
    <n v="17"/>
    <n v="2"/>
    <n v="1"/>
    <x v="1"/>
    <x v="1"/>
    <n v="0"/>
    <n v="0.94871794871794801"/>
    <n v="0"/>
    <n v="3.75"/>
    <n v="7"/>
    <n v="2"/>
    <n v="9.4749999999999996"/>
  </r>
  <r>
    <s v="T0465"/>
    <x v="7"/>
    <d v="2025-02-09T00:00:00"/>
    <s v="Sunday"/>
    <d v="1899-12-30T16:45:00"/>
    <x v="8"/>
    <n v="33"/>
    <n v="28"/>
    <n v="11.6"/>
    <n v="21"/>
    <s v="West"/>
    <n v="0"/>
    <x v="0"/>
    <n v="29"/>
    <n v="29"/>
    <n v="1.1000000000000001"/>
    <n v="0"/>
    <n v="16"/>
    <n v="2"/>
    <n v="6"/>
    <x v="0"/>
    <x v="0"/>
    <n v="0"/>
    <n v="1"/>
    <n v="0"/>
    <n v="1.5714285714285701"/>
    <n v="2.8448275862068901"/>
    <n v="5"/>
    <n v="2.80217391304347"/>
  </r>
  <r>
    <s v="T0156"/>
    <x v="3"/>
    <d v="2025-02-22T00:00:00"/>
    <s v="Saturday"/>
    <d v="1899-12-30T13:45:00"/>
    <x v="1"/>
    <n v="39"/>
    <n v="36"/>
    <n v="8.1999999999999993"/>
    <n v="15"/>
    <s v="Central"/>
    <n v="0"/>
    <x v="2"/>
    <n v="39"/>
    <n v="37"/>
    <n v="5.7"/>
    <n v="0"/>
    <n v="13"/>
    <n v="2"/>
    <n v="5"/>
    <x v="0"/>
    <x v="0"/>
    <n v="1"/>
    <n v="0.94871794871794801"/>
    <n v="1"/>
    <n v="2.6"/>
    <n v="4.7560975609756104"/>
    <n v="3"/>
    <n v="3.6937500000000001"/>
  </r>
  <r>
    <s v="T0135"/>
    <x v="7"/>
    <d v="2025-01-15T00:00:00"/>
    <s v="Wednesday"/>
    <d v="1899-12-30T07:30:00"/>
    <x v="0"/>
    <n v="65"/>
    <n v="63"/>
    <n v="11.6"/>
    <n v="21"/>
    <s v="West"/>
    <n v="0"/>
    <x v="0"/>
    <n v="19"/>
    <n v="18"/>
    <n v="2"/>
    <n v="0"/>
    <n v="7"/>
    <n v="1"/>
    <n v="2"/>
    <x v="1"/>
    <x v="2"/>
    <n v="0"/>
    <n v="0.94736842105263097"/>
    <n v="0"/>
    <n v="3.09523809523809"/>
    <n v="5.6034482758620596"/>
    <n v="2"/>
    <n v="2.80217391304347"/>
  </r>
  <r>
    <s v="T0031"/>
    <x v="2"/>
    <d v="2025-02-23T00:00:00"/>
    <s v="Sunday"/>
    <d v="1899-12-30T19:45:00"/>
    <x v="1"/>
    <n v="61"/>
    <n v="57"/>
    <n v="18.399999999999999"/>
    <n v="32"/>
    <s v="East"/>
    <n v="0"/>
    <x v="0"/>
    <n v="29"/>
    <n v="23"/>
    <n v="3.4"/>
    <n v="0"/>
    <n v="19"/>
    <n v="2"/>
    <n v="6"/>
    <x v="0"/>
    <x v="1"/>
    <n v="0"/>
    <n v="0.79310344827586199"/>
    <n v="0"/>
    <n v="1.90625"/>
    <n v="3.3152173913043401"/>
    <n v="4"/>
    <n v="8.6013888888888896"/>
  </r>
  <r>
    <s v="T0193"/>
    <x v="8"/>
    <d v="2025-02-11T00:00:00"/>
    <s v="Tuesday"/>
    <d v="1899-12-30T08:00:00"/>
    <x v="20"/>
    <n v="58"/>
    <n v="57"/>
    <n v="7.3"/>
    <n v="13"/>
    <s v="South"/>
    <n v="0"/>
    <x v="0"/>
    <n v="20"/>
    <n v="20"/>
    <n v="3.7"/>
    <n v="0"/>
    <n v="8"/>
    <n v="2"/>
    <n v="1"/>
    <x v="1"/>
    <x v="2"/>
    <n v="0"/>
    <n v="1"/>
    <n v="0"/>
    <n v="4.4615384615384599"/>
    <n v="7.9452054794520501"/>
    <n v="1"/>
    <n v="4.0518518518518496"/>
  </r>
  <r>
    <s v="T0011"/>
    <x v="5"/>
    <d v="2025-01-13T00:00:00"/>
    <s v="Monday"/>
    <d v="1899-12-30T16:00:00"/>
    <x v="4"/>
    <n v="41"/>
    <n v="40"/>
    <n v="12.5"/>
    <n v="22"/>
    <s v="Central"/>
    <n v="0"/>
    <x v="0"/>
    <n v="36"/>
    <n v="34"/>
    <n v="1.2"/>
    <n v="0"/>
    <n v="16"/>
    <n v="1"/>
    <n v="0"/>
    <x v="1"/>
    <x v="0"/>
    <n v="0"/>
    <n v="0.94444444444444398"/>
    <n v="0"/>
    <n v="1.86363636363636"/>
    <n v="3.28"/>
    <n v="1"/>
    <n v="3.4760869565217298"/>
  </r>
  <r>
    <s v="T0286"/>
    <x v="5"/>
    <d v="2025-01-22T00:00:00"/>
    <s v="Wednesday"/>
    <d v="1899-12-30T19:45:00"/>
    <x v="20"/>
    <n v="100"/>
    <n v="93"/>
    <n v="12.5"/>
    <n v="22"/>
    <s v="Central"/>
    <n v="0"/>
    <x v="0"/>
    <n v="22"/>
    <n v="21"/>
    <n v="5.6"/>
    <n v="0"/>
    <n v="19"/>
    <n v="1"/>
    <n v="2"/>
    <x v="1"/>
    <x v="1"/>
    <n v="0"/>
    <n v="0.95454545454545403"/>
    <n v="1"/>
    <n v="4.5454545454545396"/>
    <n v="8"/>
    <n v="7"/>
    <n v="3.4760869565217298"/>
  </r>
  <r>
    <s v="T0018"/>
    <x v="2"/>
    <d v="2025-02-16T00:00:00"/>
    <s v="Sunday"/>
    <d v="1899-12-30T20:00:00"/>
    <x v="7"/>
    <n v="37"/>
    <n v="32"/>
    <n v="18.399999999999999"/>
    <n v="32"/>
    <s v="East"/>
    <n v="0"/>
    <x v="0"/>
    <n v="25"/>
    <n v="23"/>
    <n v="9.4"/>
    <n v="0"/>
    <n v="20"/>
    <n v="2"/>
    <n v="6"/>
    <x v="0"/>
    <x v="0"/>
    <n v="0"/>
    <n v="0.92"/>
    <n v="1"/>
    <n v="1.15625"/>
    <n v="2.0108695652173898"/>
    <n v="5"/>
    <n v="8.6013888888888896"/>
  </r>
  <r>
    <s v="T0492"/>
    <x v="0"/>
    <d v="2025-01-27T00:00:00"/>
    <s v="Monday"/>
    <d v="1899-12-30T15:00:00"/>
    <x v="3"/>
    <n v="44"/>
    <n v="43"/>
    <n v="10.1"/>
    <n v="19"/>
    <s v="West"/>
    <n v="0"/>
    <x v="0"/>
    <n v="34"/>
    <n v="33"/>
    <n v="0.7"/>
    <n v="0"/>
    <n v="15"/>
    <n v="1"/>
    <n v="0"/>
    <x v="1"/>
    <x v="0"/>
    <n v="0"/>
    <n v="0.97058823529411697"/>
    <n v="0"/>
    <n v="2.3157894736842102"/>
    <n v="4.3564356435643496"/>
    <n v="1"/>
    <n v="3.6613636363636299"/>
  </r>
  <r>
    <s v="T0266"/>
    <x v="1"/>
    <d v="2025-02-26T00:00:00"/>
    <s v="Wednesday"/>
    <d v="1899-12-30T15:45:00"/>
    <x v="0"/>
    <n v="39"/>
    <n v="39"/>
    <n v="9.5"/>
    <n v="17"/>
    <s v="North"/>
    <n v="0"/>
    <x v="0"/>
    <n v="24"/>
    <n v="23"/>
    <n v="6.6"/>
    <n v="0"/>
    <n v="15"/>
    <n v="2"/>
    <n v="2"/>
    <x v="1"/>
    <x v="0"/>
    <n v="0"/>
    <n v="0.95833333333333304"/>
    <n v="1"/>
    <n v="2.2941176470588198"/>
    <n v="4.1052631578947301"/>
    <n v="0"/>
    <n v="3.8470588235294101"/>
  </r>
  <r>
    <s v="T0265"/>
    <x v="8"/>
    <d v="2025-02-08T00:00:00"/>
    <s v="Saturday"/>
    <d v="1899-12-30T10:00:00"/>
    <x v="5"/>
    <n v="35"/>
    <n v="31"/>
    <n v="7.3"/>
    <n v="13"/>
    <s v="South"/>
    <n v="0"/>
    <x v="1"/>
    <n v="39"/>
    <n v="37"/>
    <n v="1.3"/>
    <n v="0"/>
    <n v="10"/>
    <n v="2"/>
    <n v="5"/>
    <x v="0"/>
    <x v="0"/>
    <n v="1"/>
    <n v="0.94871794871794801"/>
    <n v="0"/>
    <n v="2.6923076923076898"/>
    <n v="4.7945205479451998"/>
    <n v="4"/>
    <n v="4.0518518518518496"/>
  </r>
  <r>
    <s v="T0355"/>
    <x v="5"/>
    <d v="2025-02-13T00:00:00"/>
    <s v="Thursday"/>
    <d v="1899-12-30T17:30:00"/>
    <x v="0"/>
    <n v="93"/>
    <n v="79"/>
    <n v="12.5"/>
    <n v="22"/>
    <s v="Central"/>
    <n v="0"/>
    <x v="0"/>
    <n v="32"/>
    <n v="32"/>
    <n v="9.5"/>
    <n v="0"/>
    <n v="17"/>
    <n v="2"/>
    <n v="3"/>
    <x v="1"/>
    <x v="1"/>
    <n v="0"/>
    <n v="1"/>
    <n v="1"/>
    <n v="4.2272727272727204"/>
    <n v="7.44"/>
    <n v="14"/>
    <n v="3.4760869565217298"/>
  </r>
  <r>
    <s v="T0120"/>
    <x v="2"/>
    <d v="2025-02-03T00:00:00"/>
    <s v="Monday"/>
    <d v="1899-12-30T14:30:00"/>
    <x v="18"/>
    <n v="61"/>
    <n v="58"/>
    <n v="18.399999999999999"/>
    <n v="32"/>
    <s v="East"/>
    <n v="0"/>
    <x v="0"/>
    <n v="38"/>
    <n v="35"/>
    <n v="3.8"/>
    <n v="0"/>
    <n v="14"/>
    <n v="2"/>
    <n v="0"/>
    <x v="1"/>
    <x v="0"/>
    <n v="0"/>
    <n v="0.92105263157894701"/>
    <n v="0"/>
    <n v="1.90625"/>
    <n v="3.3152173913043401"/>
    <n v="3"/>
    <n v="8.6013888888888896"/>
  </r>
  <r>
    <s v="T0412"/>
    <x v="7"/>
    <d v="2025-02-25T00:00:00"/>
    <s v="Tuesday"/>
    <d v="1899-12-30T06:00:00"/>
    <x v="7"/>
    <n v="43"/>
    <n v="41"/>
    <n v="11.6"/>
    <n v="21"/>
    <s v="West"/>
    <n v="0"/>
    <x v="0"/>
    <n v="37"/>
    <n v="37"/>
    <n v="2.8"/>
    <n v="0"/>
    <n v="6"/>
    <n v="2"/>
    <n v="1"/>
    <x v="1"/>
    <x v="0"/>
    <n v="0"/>
    <n v="1"/>
    <n v="0"/>
    <n v="2.0476190476190399"/>
    <n v="3.7068965517241299"/>
    <n v="2"/>
    <n v="2.80217391304347"/>
  </r>
  <r>
    <s v="T0398"/>
    <x v="6"/>
    <d v="2025-01-15T00:00:00"/>
    <s v="Wednesday"/>
    <d v="1899-12-30T05:00:00"/>
    <x v="0"/>
    <n v="36"/>
    <n v="36"/>
    <n v="6.8"/>
    <n v="12"/>
    <s v="South"/>
    <n v="0"/>
    <x v="0"/>
    <n v="39"/>
    <n v="37"/>
    <n v="2.8"/>
    <n v="0"/>
    <n v="5"/>
    <n v="1"/>
    <n v="2"/>
    <x v="1"/>
    <x v="0"/>
    <n v="0"/>
    <n v="0.94871794871794801"/>
    <n v="0"/>
    <n v="3"/>
    <n v="5.2941176470588198"/>
    <n v="0"/>
    <n v="2.7611111111111102"/>
  </r>
  <r>
    <s v="T0172"/>
    <x v="5"/>
    <d v="2025-01-16T00:00:00"/>
    <s v="Thursday"/>
    <d v="1899-12-30T17:00:00"/>
    <x v="15"/>
    <n v="101"/>
    <n v="86"/>
    <n v="12.5"/>
    <n v="22"/>
    <s v="Central"/>
    <n v="0"/>
    <x v="0"/>
    <n v="29"/>
    <n v="28"/>
    <n v="4.4000000000000004"/>
    <n v="0"/>
    <n v="17"/>
    <n v="1"/>
    <n v="3"/>
    <x v="1"/>
    <x v="1"/>
    <n v="0"/>
    <n v="0.96551724137931005"/>
    <n v="0"/>
    <n v="4.5909090909090899"/>
    <n v="8.08"/>
    <n v="15"/>
    <n v="3.4760869565217298"/>
  </r>
  <r>
    <s v="T0333"/>
    <x v="5"/>
    <d v="2025-01-06T00:00:00"/>
    <s v="Monday"/>
    <d v="1899-12-30T17:15:00"/>
    <x v="0"/>
    <n v="75"/>
    <n v="69"/>
    <n v="12.5"/>
    <n v="22"/>
    <s v="Central"/>
    <n v="0"/>
    <x v="0"/>
    <n v="38"/>
    <n v="35"/>
    <n v="5.9"/>
    <n v="0"/>
    <n v="17"/>
    <n v="1"/>
    <n v="0"/>
    <x v="1"/>
    <x v="1"/>
    <n v="0"/>
    <n v="0.92105263157894701"/>
    <n v="1"/>
    <n v="3.4090909090908998"/>
    <n v="6"/>
    <n v="6"/>
    <n v="3.4760869565217298"/>
  </r>
  <r>
    <s v="T0252"/>
    <x v="9"/>
    <d v="2025-03-01T00:00:00"/>
    <s v="Saturday"/>
    <d v="1899-12-30T09:15:00"/>
    <x v="1"/>
    <n v="57"/>
    <n v="49"/>
    <n v="15"/>
    <n v="28"/>
    <s v="North"/>
    <n v="0"/>
    <x v="0"/>
    <n v="21"/>
    <n v="20"/>
    <n v="10.6"/>
    <n v="0"/>
    <n v="9"/>
    <n v="3"/>
    <n v="5"/>
    <x v="0"/>
    <x v="2"/>
    <n v="0"/>
    <n v="0.952380952380952"/>
    <n v="1"/>
    <n v="2.0357142857142798"/>
    <n v="3.8"/>
    <n v="8"/>
    <n v="9.4749999999999996"/>
  </r>
  <r>
    <s v="T0030"/>
    <x v="5"/>
    <d v="2025-02-02T00:00:00"/>
    <s v="Sunday"/>
    <d v="1899-12-30T07:15:00"/>
    <x v="1"/>
    <n v="57"/>
    <n v="54"/>
    <n v="12.5"/>
    <n v="22"/>
    <s v="Central"/>
    <n v="0"/>
    <x v="0"/>
    <n v="22"/>
    <n v="21"/>
    <n v="2.2999999999999998"/>
    <n v="0"/>
    <n v="7"/>
    <n v="2"/>
    <n v="6"/>
    <x v="0"/>
    <x v="2"/>
    <n v="0"/>
    <n v="0.95454545454545403"/>
    <n v="0"/>
    <n v="2.5909090909090899"/>
    <n v="4.5599999999999996"/>
    <n v="3"/>
    <n v="3.4760869565217298"/>
  </r>
  <r>
    <s v="T0270"/>
    <x v="9"/>
    <d v="2025-01-26T00:00:00"/>
    <s v="Sunday"/>
    <d v="1899-12-30T12:00:00"/>
    <x v="6"/>
    <n v="40"/>
    <n v="35"/>
    <n v="15"/>
    <n v="28"/>
    <s v="North"/>
    <n v="1"/>
    <x v="0"/>
    <n v="19"/>
    <n v="16"/>
    <n v="20"/>
    <n v="0"/>
    <n v="12"/>
    <n v="1"/>
    <n v="6"/>
    <x v="0"/>
    <x v="0"/>
    <n v="0"/>
    <n v="0.84210526315789402"/>
    <n v="1"/>
    <n v="1.4285714285714199"/>
    <n v="2.6666666666666599"/>
    <n v="5"/>
    <n v="9.4749999999999996"/>
  </r>
  <r>
    <s v="T0143"/>
    <x v="2"/>
    <d v="2025-01-29T00:00:00"/>
    <s v="Wednesday"/>
    <d v="1899-12-30T10:15:00"/>
    <x v="10"/>
    <n v="55"/>
    <n v="51"/>
    <n v="18.399999999999999"/>
    <n v="32"/>
    <s v="East"/>
    <n v="0"/>
    <x v="0"/>
    <n v="37"/>
    <n v="35"/>
    <n v="8.8000000000000007"/>
    <n v="0"/>
    <n v="10"/>
    <n v="1"/>
    <n v="2"/>
    <x v="1"/>
    <x v="0"/>
    <n v="0"/>
    <n v="0.94594594594594505"/>
    <n v="1"/>
    <n v="1.71875"/>
    <n v="2.9891304347826"/>
    <n v="4"/>
    <n v="8.6013888888888896"/>
  </r>
  <r>
    <s v="T0199"/>
    <x v="8"/>
    <d v="2025-02-10T00:00:00"/>
    <s v="Monday"/>
    <d v="1899-12-30T19:45:00"/>
    <x v="17"/>
    <n v="40"/>
    <n v="34"/>
    <n v="7.3"/>
    <n v="13"/>
    <s v="South"/>
    <n v="0"/>
    <x v="0"/>
    <n v="30"/>
    <n v="29"/>
    <n v="0.9"/>
    <n v="0"/>
    <n v="19"/>
    <n v="2"/>
    <n v="0"/>
    <x v="1"/>
    <x v="1"/>
    <n v="0"/>
    <n v="0.96666666666666601"/>
    <n v="0"/>
    <n v="3.07692307692307"/>
    <n v="5.4794520547945202"/>
    <n v="6"/>
    <n v="4.0518518518518496"/>
  </r>
  <r>
    <s v="T0346"/>
    <x v="2"/>
    <d v="2025-02-20T00:00:00"/>
    <s v="Thursday"/>
    <d v="1899-12-30T16:15:00"/>
    <x v="18"/>
    <n v="64"/>
    <n v="61"/>
    <n v="18.399999999999999"/>
    <n v="32"/>
    <s v="East"/>
    <n v="0"/>
    <x v="0"/>
    <n v="30"/>
    <n v="26"/>
    <n v="18.100000000000001"/>
    <n v="0"/>
    <n v="16"/>
    <n v="2"/>
    <n v="3"/>
    <x v="1"/>
    <x v="0"/>
    <n v="0"/>
    <n v="0.86666666666666603"/>
    <n v="1"/>
    <n v="2"/>
    <n v="3.4782608695652102"/>
    <n v="3"/>
    <n v="8.6013888888888896"/>
  </r>
  <r>
    <s v="T0385"/>
    <x v="1"/>
    <d v="2025-01-10T00:00:00"/>
    <s v="Friday"/>
    <d v="1899-12-30T08:15:00"/>
    <x v="7"/>
    <n v="78"/>
    <n v="71"/>
    <n v="9.5"/>
    <n v="17"/>
    <s v="North"/>
    <n v="0"/>
    <x v="0"/>
    <n v="35"/>
    <n v="33"/>
    <n v="0.6"/>
    <n v="0"/>
    <n v="8"/>
    <n v="1"/>
    <n v="4"/>
    <x v="1"/>
    <x v="2"/>
    <n v="0"/>
    <n v="0.94285714285714195"/>
    <n v="0"/>
    <n v="4.5882352941176396"/>
    <n v="8.2105263157894708"/>
    <n v="7"/>
    <n v="3.8470588235294101"/>
  </r>
  <r>
    <s v="T0222"/>
    <x v="2"/>
    <d v="2025-02-05T00:00:00"/>
    <s v="Wednesday"/>
    <d v="1899-12-30T07:00:00"/>
    <x v="10"/>
    <n v="96"/>
    <n v="87"/>
    <n v="18.399999999999999"/>
    <n v="32"/>
    <s v="East"/>
    <n v="0"/>
    <x v="0"/>
    <n v="32"/>
    <n v="27"/>
    <n v="5.2"/>
    <n v="0"/>
    <n v="7"/>
    <n v="2"/>
    <n v="2"/>
    <x v="1"/>
    <x v="2"/>
    <n v="0"/>
    <n v="0.84375"/>
    <n v="1"/>
    <n v="3"/>
    <n v="5.2173913043478199"/>
    <n v="9"/>
    <n v="8.6013888888888896"/>
  </r>
  <r>
    <s v="T0107"/>
    <x v="9"/>
    <d v="2025-02-17T00:00:00"/>
    <s v="Monday"/>
    <d v="1899-12-30T17:45:00"/>
    <x v="23"/>
    <n v="100"/>
    <n v="91"/>
    <n v="15"/>
    <n v="28"/>
    <s v="North"/>
    <n v="0"/>
    <x v="0"/>
    <n v="32"/>
    <n v="27"/>
    <n v="8.8000000000000007"/>
    <n v="0"/>
    <n v="17"/>
    <n v="2"/>
    <n v="0"/>
    <x v="1"/>
    <x v="1"/>
    <n v="0"/>
    <n v="0.84375"/>
    <n v="1"/>
    <n v="3.5714285714285698"/>
    <n v="6.6666666666666599"/>
    <n v="9"/>
    <n v="9.4749999999999996"/>
  </r>
  <r>
    <s v="T0095"/>
    <x v="4"/>
    <d v="2025-02-28T00:00:00"/>
    <s v="Friday"/>
    <d v="1899-12-30T14:30:00"/>
    <x v="3"/>
    <n v="54"/>
    <n v="53"/>
    <n v="14.2"/>
    <n v="25"/>
    <s v="East"/>
    <n v="0"/>
    <x v="0"/>
    <n v="29"/>
    <n v="26"/>
    <n v="8.9"/>
    <n v="0"/>
    <n v="14"/>
    <n v="2"/>
    <n v="4"/>
    <x v="1"/>
    <x v="0"/>
    <n v="0"/>
    <n v="0.89655172413793105"/>
    <n v="1"/>
    <n v="2.16"/>
    <n v="3.8028169014084501"/>
    <n v="1"/>
    <n v="8.3255319148936096"/>
  </r>
  <r>
    <s v="T0281"/>
    <x v="8"/>
    <d v="2025-02-14T00:00:00"/>
    <s v="Friday"/>
    <d v="1899-12-30T13:45:00"/>
    <x v="0"/>
    <n v="35"/>
    <n v="31"/>
    <n v="7.3"/>
    <n v="13"/>
    <s v="South"/>
    <n v="0"/>
    <x v="0"/>
    <n v="28"/>
    <n v="26"/>
    <n v="3.1"/>
    <n v="1"/>
    <n v="13"/>
    <n v="2"/>
    <n v="4"/>
    <x v="1"/>
    <x v="0"/>
    <n v="0"/>
    <n v="0.92857142857142805"/>
    <n v="0"/>
    <n v="2.6923076923076898"/>
    <n v="4.7945205479451998"/>
    <n v="4"/>
    <n v="4.0518518518518496"/>
  </r>
  <r>
    <s v="T0380"/>
    <x v="9"/>
    <d v="2025-02-19T00:00:00"/>
    <s v="Wednesday"/>
    <d v="1899-12-30T18:00:00"/>
    <x v="3"/>
    <n v="121"/>
    <n v="111"/>
    <n v="15"/>
    <n v="28"/>
    <s v="North"/>
    <n v="0"/>
    <x v="0"/>
    <n v="25"/>
    <n v="21"/>
    <n v="9.1"/>
    <n v="1"/>
    <n v="18"/>
    <n v="2"/>
    <n v="2"/>
    <x v="1"/>
    <x v="1"/>
    <n v="0"/>
    <n v="0.84"/>
    <n v="1"/>
    <n v="4.3214285714285703"/>
    <n v="8.0666666666666593"/>
    <n v="10"/>
    <n v="9.4749999999999996"/>
  </r>
  <r>
    <s v="T0409"/>
    <x v="8"/>
    <d v="2025-02-19T00:00:00"/>
    <s v="Wednesday"/>
    <d v="1899-12-30T17:30:00"/>
    <x v="8"/>
    <n v="60"/>
    <n v="53"/>
    <n v="7.3"/>
    <n v="13"/>
    <s v="South"/>
    <n v="0"/>
    <x v="0"/>
    <n v="37"/>
    <n v="36"/>
    <n v="10.4"/>
    <n v="0"/>
    <n v="17"/>
    <n v="2"/>
    <n v="2"/>
    <x v="1"/>
    <x v="1"/>
    <n v="0"/>
    <n v="0.97297297297297303"/>
    <n v="1"/>
    <n v="4.6153846153846096"/>
    <n v="8.2191780821917799"/>
    <n v="7"/>
    <n v="4.0518518518518496"/>
  </r>
  <r>
    <s v="T0378"/>
    <x v="5"/>
    <d v="2025-02-02T00:00:00"/>
    <s v="Sunday"/>
    <d v="1899-12-30T16:15:00"/>
    <x v="0"/>
    <n v="37"/>
    <n v="34"/>
    <n v="12.5"/>
    <n v="22"/>
    <s v="Central"/>
    <n v="0"/>
    <x v="0"/>
    <n v="22"/>
    <n v="21"/>
    <n v="2.2999999999999998"/>
    <n v="0"/>
    <n v="16"/>
    <n v="2"/>
    <n v="6"/>
    <x v="0"/>
    <x v="0"/>
    <n v="0"/>
    <n v="0.95454545454545403"/>
    <n v="0"/>
    <n v="1.6818181818181801"/>
    <n v="2.96"/>
    <n v="3"/>
    <n v="3.4760869565217298"/>
  </r>
  <r>
    <s v="T0004"/>
    <x v="2"/>
    <d v="2025-02-02T00:00:00"/>
    <s v="Sunday"/>
    <d v="1899-12-30T10:45:00"/>
    <x v="3"/>
    <n v="42"/>
    <n v="42"/>
    <n v="18.399999999999999"/>
    <n v="32"/>
    <s v="East"/>
    <n v="0"/>
    <x v="0"/>
    <n v="22"/>
    <n v="20"/>
    <n v="14.2"/>
    <n v="0"/>
    <n v="10"/>
    <n v="2"/>
    <n v="6"/>
    <x v="0"/>
    <x v="0"/>
    <n v="0"/>
    <n v="0.90909090909090895"/>
    <n v="1"/>
    <n v="1.3125"/>
    <n v="2.2826086956521698"/>
    <n v="0"/>
    <n v="8.6013888888888896"/>
  </r>
  <r>
    <s v="T0043"/>
    <x v="5"/>
    <d v="2025-01-27T00:00:00"/>
    <s v="Monday"/>
    <d v="1899-12-30T08:00:00"/>
    <x v="2"/>
    <n v="93"/>
    <n v="92"/>
    <n v="12.5"/>
    <n v="22"/>
    <s v="Central"/>
    <n v="0"/>
    <x v="0"/>
    <n v="24"/>
    <n v="23"/>
    <n v="0.5"/>
    <n v="0"/>
    <n v="8"/>
    <n v="1"/>
    <n v="0"/>
    <x v="1"/>
    <x v="2"/>
    <n v="0"/>
    <n v="0.95833333333333304"/>
    <n v="0"/>
    <n v="4.2272727272727204"/>
    <n v="7.44"/>
    <n v="1"/>
    <n v="3.4760869565217298"/>
  </r>
  <r>
    <s v="T0164"/>
    <x v="2"/>
    <d v="2025-02-16T00:00:00"/>
    <s v="Sunday"/>
    <d v="1899-12-30T15:45:00"/>
    <x v="7"/>
    <n v="46"/>
    <n v="46"/>
    <n v="18.399999999999999"/>
    <n v="32"/>
    <s v="East"/>
    <n v="0"/>
    <x v="0"/>
    <n v="25"/>
    <n v="23"/>
    <n v="9.4"/>
    <n v="0"/>
    <n v="15"/>
    <n v="2"/>
    <n v="6"/>
    <x v="0"/>
    <x v="0"/>
    <n v="0"/>
    <n v="0.92"/>
    <n v="1"/>
    <n v="1.4375"/>
    <n v="2.5"/>
    <n v="0"/>
    <n v="8.6013888888888896"/>
  </r>
  <r>
    <s v="T0401"/>
    <x v="5"/>
    <d v="2025-02-24T00:00:00"/>
    <s v="Monday"/>
    <d v="1899-12-30T08:00:00"/>
    <x v="2"/>
    <n v="69"/>
    <n v="65"/>
    <n v="12.5"/>
    <n v="22"/>
    <s v="Central"/>
    <n v="0"/>
    <x v="0"/>
    <n v="21"/>
    <n v="20"/>
    <n v="3.5"/>
    <n v="0"/>
    <n v="8"/>
    <n v="2"/>
    <n v="0"/>
    <x v="1"/>
    <x v="2"/>
    <n v="0"/>
    <n v="0.952380952380952"/>
    <n v="0"/>
    <n v="3.13636363636363"/>
    <n v="5.52"/>
    <n v="4"/>
    <n v="3.4760869565217298"/>
  </r>
  <r>
    <s v="T0171"/>
    <x v="0"/>
    <d v="2025-02-23T00:00:00"/>
    <s v="Sunday"/>
    <d v="1899-12-30T14:15:00"/>
    <x v="15"/>
    <n v="32"/>
    <n v="32"/>
    <n v="10.1"/>
    <n v="19"/>
    <s v="West"/>
    <n v="0"/>
    <x v="0"/>
    <n v="32"/>
    <n v="30"/>
    <n v="2.5"/>
    <n v="0"/>
    <n v="14"/>
    <n v="2"/>
    <n v="6"/>
    <x v="0"/>
    <x v="0"/>
    <n v="0"/>
    <n v="0.9375"/>
    <n v="0"/>
    <n v="1.6842105263157801"/>
    <n v="3.16831683168316"/>
    <n v="0"/>
    <n v="3.6613636363636299"/>
  </r>
  <r>
    <s v="T0215"/>
    <x v="1"/>
    <d v="2025-02-16T00:00:00"/>
    <s v="Sunday"/>
    <d v="1899-12-30T13:15:00"/>
    <x v="2"/>
    <n v="26"/>
    <n v="23"/>
    <n v="9.5"/>
    <n v="17"/>
    <s v="North"/>
    <n v="0"/>
    <x v="0"/>
    <n v="18"/>
    <n v="17"/>
    <n v="4.4000000000000004"/>
    <n v="0"/>
    <n v="13"/>
    <n v="2"/>
    <n v="6"/>
    <x v="0"/>
    <x v="0"/>
    <n v="0"/>
    <n v="0.94444444444444398"/>
    <n v="0"/>
    <n v="1.52941176470588"/>
    <n v="2.73684210526315"/>
    <n v="3"/>
    <n v="3.8470588235294101"/>
  </r>
  <r>
    <s v="T0091"/>
    <x v="5"/>
    <d v="2025-02-03T00:00:00"/>
    <s v="Monday"/>
    <d v="1899-12-30T17:15:00"/>
    <x v="7"/>
    <n v="76"/>
    <n v="71"/>
    <n v="12.5"/>
    <n v="22"/>
    <s v="Central"/>
    <n v="0"/>
    <x v="0"/>
    <n v="30"/>
    <n v="30"/>
    <n v="0.3"/>
    <n v="0"/>
    <n v="17"/>
    <n v="2"/>
    <n v="0"/>
    <x v="1"/>
    <x v="1"/>
    <n v="0"/>
    <n v="1"/>
    <n v="0"/>
    <n v="3.4545454545454501"/>
    <n v="6.08"/>
    <n v="5"/>
    <n v="3.4760869565217298"/>
  </r>
  <r>
    <s v="T0444"/>
    <x v="9"/>
    <d v="2025-01-18T00:00:00"/>
    <s v="Saturday"/>
    <d v="1899-12-30T07:00:00"/>
    <x v="15"/>
    <n v="92"/>
    <n v="86"/>
    <n v="15"/>
    <n v="28"/>
    <s v="North"/>
    <n v="0"/>
    <x v="3"/>
    <n v="30"/>
    <n v="28"/>
    <n v="9.1"/>
    <n v="0"/>
    <n v="7"/>
    <n v="1"/>
    <n v="5"/>
    <x v="0"/>
    <x v="2"/>
    <n v="1"/>
    <n v="0.93333333333333302"/>
    <n v="1"/>
    <n v="3.2857142857142798"/>
    <n v="6.1333333333333302"/>
    <n v="6"/>
    <n v="9.4749999999999996"/>
  </r>
  <r>
    <s v="T0210"/>
    <x v="3"/>
    <d v="2025-01-26T00:00:00"/>
    <s v="Sunday"/>
    <d v="1899-12-30T17:00:00"/>
    <x v="8"/>
    <n v="53"/>
    <n v="48"/>
    <n v="8.1999999999999993"/>
    <n v="15"/>
    <s v="Central"/>
    <n v="1"/>
    <x v="0"/>
    <n v="19"/>
    <n v="19"/>
    <n v="2.5"/>
    <n v="0"/>
    <n v="17"/>
    <n v="1"/>
    <n v="6"/>
    <x v="0"/>
    <x v="1"/>
    <n v="0"/>
    <n v="1"/>
    <n v="0"/>
    <n v="3.5333333333333301"/>
    <n v="6.4634146341463401"/>
    <n v="5"/>
    <n v="3.6937500000000001"/>
  </r>
  <r>
    <s v="T0160"/>
    <x v="1"/>
    <d v="2025-02-12T00:00:00"/>
    <s v="Wednesday"/>
    <d v="1899-12-30T16:45:00"/>
    <x v="15"/>
    <n v="37"/>
    <n v="32"/>
    <n v="9.5"/>
    <n v="17"/>
    <s v="North"/>
    <n v="0"/>
    <x v="0"/>
    <n v="37"/>
    <n v="36"/>
    <n v="3.1"/>
    <n v="0"/>
    <n v="16"/>
    <n v="2"/>
    <n v="2"/>
    <x v="1"/>
    <x v="0"/>
    <n v="0"/>
    <n v="0.97297297297297303"/>
    <n v="0"/>
    <n v="2.1764705882352899"/>
    <n v="3.8947368421052602"/>
    <n v="5"/>
    <n v="3.8470588235294101"/>
  </r>
  <r>
    <s v="T0173"/>
    <x v="2"/>
    <d v="2025-01-08T00:00:00"/>
    <s v="Wednesday"/>
    <d v="1899-12-30T13:15:00"/>
    <x v="19"/>
    <n v="48"/>
    <n v="47"/>
    <n v="18.399999999999999"/>
    <n v="32"/>
    <s v="East"/>
    <n v="0"/>
    <x v="0"/>
    <n v="25"/>
    <n v="24"/>
    <n v="8.8000000000000007"/>
    <n v="1"/>
    <n v="13"/>
    <n v="1"/>
    <n v="2"/>
    <x v="1"/>
    <x v="0"/>
    <n v="0"/>
    <n v="0.96"/>
    <n v="1"/>
    <n v="1.5"/>
    <n v="2.60869565217391"/>
    <n v="1"/>
    <n v="8.6013888888888896"/>
  </r>
  <r>
    <s v="T0237"/>
    <x v="9"/>
    <d v="2025-01-24T00:00:00"/>
    <s v="Friday"/>
    <d v="1899-12-30T15:00:00"/>
    <x v="0"/>
    <n v="55"/>
    <n v="54"/>
    <n v="15"/>
    <n v="28"/>
    <s v="North"/>
    <n v="0"/>
    <x v="0"/>
    <n v="37"/>
    <n v="33"/>
    <n v="5.0999999999999996"/>
    <n v="0"/>
    <n v="15"/>
    <n v="1"/>
    <n v="4"/>
    <x v="1"/>
    <x v="0"/>
    <n v="0"/>
    <n v="0.891891891891891"/>
    <n v="1"/>
    <n v="1.96428571428571"/>
    <n v="3.6666666666666599"/>
    <n v="1"/>
    <n v="9.4749999999999996"/>
  </r>
  <r>
    <s v="T0438"/>
    <x v="4"/>
    <d v="2025-01-26T00:00:00"/>
    <s v="Sunday"/>
    <d v="1899-12-30T17:30:00"/>
    <x v="2"/>
    <n v="72"/>
    <n v="62"/>
    <n v="14.2"/>
    <n v="25"/>
    <s v="East"/>
    <n v="1"/>
    <x v="0"/>
    <n v="39"/>
    <n v="35"/>
    <n v="3.9"/>
    <n v="0"/>
    <n v="17"/>
    <n v="1"/>
    <n v="6"/>
    <x v="0"/>
    <x v="1"/>
    <n v="0"/>
    <n v="0.89743589743589702"/>
    <n v="0"/>
    <n v="2.88"/>
    <n v="5.07042253521126"/>
    <n v="10"/>
    <n v="8.3255319148936096"/>
  </r>
  <r>
    <s v="T0232"/>
    <x v="2"/>
    <d v="2025-01-14T00:00:00"/>
    <s v="Tuesday"/>
    <d v="1899-12-30T16:15:00"/>
    <x v="11"/>
    <n v="63"/>
    <n v="60"/>
    <n v="18.399999999999999"/>
    <n v="32"/>
    <s v="East"/>
    <n v="1"/>
    <x v="0"/>
    <n v="18"/>
    <n v="17"/>
    <n v="5.9"/>
    <n v="0"/>
    <n v="16"/>
    <n v="1"/>
    <n v="1"/>
    <x v="1"/>
    <x v="0"/>
    <n v="0"/>
    <n v="0.94444444444444398"/>
    <n v="1"/>
    <n v="1.96875"/>
    <n v="3.4239130434782599"/>
    <n v="3"/>
    <n v="8.6013888888888896"/>
  </r>
  <r>
    <s v="T0307"/>
    <x v="2"/>
    <d v="2025-02-26T00:00:00"/>
    <s v="Wednesday"/>
    <d v="1899-12-30T19:00:00"/>
    <x v="1"/>
    <n v="88"/>
    <n v="76"/>
    <n v="18.399999999999999"/>
    <n v="32"/>
    <s v="East"/>
    <n v="0"/>
    <x v="0"/>
    <n v="38"/>
    <n v="32"/>
    <n v="14.9"/>
    <n v="0"/>
    <n v="19"/>
    <n v="2"/>
    <n v="2"/>
    <x v="1"/>
    <x v="1"/>
    <n v="0"/>
    <n v="0.84210526315789402"/>
    <n v="1"/>
    <n v="2.75"/>
    <n v="4.7826086956521703"/>
    <n v="12"/>
    <n v="8.6013888888888896"/>
  </r>
  <r>
    <s v="T0260"/>
    <x v="5"/>
    <d v="2025-01-25T00:00:00"/>
    <s v="Saturday"/>
    <d v="1899-12-30T06:45:00"/>
    <x v="14"/>
    <n v="43"/>
    <n v="41"/>
    <n v="12.5"/>
    <n v="22"/>
    <s v="Central"/>
    <n v="0"/>
    <x v="2"/>
    <n v="19"/>
    <n v="18"/>
    <n v="0.9"/>
    <n v="0"/>
    <n v="6"/>
    <n v="1"/>
    <n v="5"/>
    <x v="0"/>
    <x v="0"/>
    <n v="1"/>
    <n v="0.94736842105263097"/>
    <n v="0"/>
    <n v="1.9545454545454499"/>
    <n v="3.44"/>
    <n v="2"/>
    <n v="3.4760869565217298"/>
  </r>
  <r>
    <s v="T0014"/>
    <x v="3"/>
    <d v="2025-01-06T00:00:00"/>
    <s v="Monday"/>
    <d v="1899-12-30T15:15:00"/>
    <x v="0"/>
    <n v="32"/>
    <n v="31"/>
    <n v="8.1999999999999993"/>
    <n v="15"/>
    <s v="Central"/>
    <n v="0"/>
    <x v="0"/>
    <n v="30"/>
    <n v="30"/>
    <n v="4.3"/>
    <n v="0"/>
    <n v="15"/>
    <n v="1"/>
    <n v="0"/>
    <x v="1"/>
    <x v="0"/>
    <n v="0"/>
    <n v="1"/>
    <n v="0"/>
    <n v="2.1333333333333302"/>
    <n v="3.9024390243902398"/>
    <n v="1"/>
    <n v="3.6937500000000001"/>
  </r>
  <r>
    <s v="T0213"/>
    <x v="0"/>
    <d v="2025-02-26T00:00:00"/>
    <s v="Wednesday"/>
    <d v="1899-12-30T07:00:00"/>
    <x v="0"/>
    <n v="71"/>
    <n v="65"/>
    <n v="10.1"/>
    <n v="19"/>
    <s v="West"/>
    <n v="0"/>
    <x v="0"/>
    <n v="36"/>
    <n v="35"/>
    <n v="2.2999999999999998"/>
    <n v="0"/>
    <n v="7"/>
    <n v="2"/>
    <n v="2"/>
    <x v="1"/>
    <x v="2"/>
    <n v="0"/>
    <n v="0.97222222222222199"/>
    <n v="0"/>
    <n v="3.73684210526315"/>
    <n v="7.0297029702970297"/>
    <n v="6"/>
    <n v="3.6613636363636299"/>
  </r>
  <r>
    <s v="T0224"/>
    <x v="9"/>
    <d v="2025-01-08T00:00:00"/>
    <s v="Wednesday"/>
    <d v="1899-12-30T05:15:00"/>
    <x v="2"/>
    <n v="48"/>
    <n v="42"/>
    <n v="15"/>
    <n v="28"/>
    <s v="North"/>
    <n v="0"/>
    <x v="0"/>
    <n v="26"/>
    <n v="21"/>
    <n v="13.8"/>
    <n v="0"/>
    <n v="5"/>
    <n v="1"/>
    <n v="2"/>
    <x v="1"/>
    <x v="0"/>
    <n v="0"/>
    <n v="0.80769230769230704"/>
    <n v="1"/>
    <n v="1.71428571428571"/>
    <n v="3.2"/>
    <n v="6"/>
    <n v="9.4749999999999996"/>
  </r>
  <r>
    <s v="T0411"/>
    <x v="9"/>
    <d v="2025-02-22T00:00:00"/>
    <s v="Saturday"/>
    <d v="1899-12-30T09:15:00"/>
    <x v="4"/>
    <n v="102"/>
    <n v="96"/>
    <n v="15"/>
    <n v="28"/>
    <s v="North"/>
    <n v="0"/>
    <x v="2"/>
    <n v="28"/>
    <n v="26"/>
    <n v="9.6"/>
    <n v="0"/>
    <n v="9"/>
    <n v="2"/>
    <n v="5"/>
    <x v="0"/>
    <x v="2"/>
    <n v="1"/>
    <n v="0.92857142857142805"/>
    <n v="1"/>
    <n v="3.6428571428571401"/>
    <n v="6.8"/>
    <n v="6"/>
    <n v="9.4749999999999996"/>
  </r>
  <r>
    <s v="T0408"/>
    <x v="5"/>
    <d v="2025-02-13T00:00:00"/>
    <s v="Thursday"/>
    <d v="1899-12-30T05:00:00"/>
    <x v="0"/>
    <n v="41"/>
    <n v="41"/>
    <n v="12.5"/>
    <n v="22"/>
    <s v="Central"/>
    <n v="0"/>
    <x v="0"/>
    <n v="32"/>
    <n v="32"/>
    <n v="9.5"/>
    <n v="0"/>
    <n v="5"/>
    <n v="2"/>
    <n v="3"/>
    <x v="1"/>
    <x v="0"/>
    <n v="0"/>
    <n v="1"/>
    <n v="1"/>
    <n v="1.86363636363636"/>
    <n v="3.28"/>
    <n v="0"/>
    <n v="3.4760869565217298"/>
  </r>
  <r>
    <s v="T0183"/>
    <x v="7"/>
    <d v="2025-01-29T00:00:00"/>
    <s v="Wednesday"/>
    <d v="1899-12-30T08:30:00"/>
    <x v="18"/>
    <n v="99"/>
    <n v="90"/>
    <n v="11.6"/>
    <n v="21"/>
    <s v="West"/>
    <n v="0"/>
    <x v="0"/>
    <n v="24"/>
    <n v="23"/>
    <n v="1.2"/>
    <n v="0"/>
    <n v="8"/>
    <n v="1"/>
    <n v="2"/>
    <x v="1"/>
    <x v="2"/>
    <n v="0"/>
    <n v="0.95833333333333304"/>
    <n v="0"/>
    <n v="4.71428571428571"/>
    <n v="8.5344827586206904"/>
    <n v="9"/>
    <n v="2.80217391304347"/>
  </r>
  <r>
    <s v="T0341"/>
    <x v="2"/>
    <d v="2025-02-23T00:00:00"/>
    <s v="Sunday"/>
    <d v="1899-12-30T13:15:00"/>
    <x v="14"/>
    <n v="37"/>
    <n v="32"/>
    <n v="18.399999999999999"/>
    <n v="32"/>
    <s v="East"/>
    <n v="0"/>
    <x v="0"/>
    <n v="29"/>
    <n v="23"/>
    <n v="3.4"/>
    <n v="0"/>
    <n v="13"/>
    <n v="2"/>
    <n v="6"/>
    <x v="0"/>
    <x v="0"/>
    <n v="0"/>
    <n v="0.79310344827586199"/>
    <n v="0"/>
    <n v="1.15625"/>
    <n v="2.0108695652173898"/>
    <n v="5"/>
    <n v="8.6013888888888896"/>
  </r>
  <r>
    <s v="T0158"/>
    <x v="1"/>
    <d v="2025-01-13T00:00:00"/>
    <s v="Monday"/>
    <d v="1899-12-30T13:45:00"/>
    <x v="1"/>
    <n v="37"/>
    <n v="32"/>
    <n v="9.5"/>
    <n v="17"/>
    <s v="North"/>
    <n v="0"/>
    <x v="0"/>
    <n v="35"/>
    <n v="34"/>
    <n v="4.7"/>
    <n v="0"/>
    <n v="13"/>
    <n v="1"/>
    <n v="0"/>
    <x v="1"/>
    <x v="0"/>
    <n v="0"/>
    <n v="0.97142857142857097"/>
    <n v="0"/>
    <n v="2.1764705882352899"/>
    <n v="3.8947368421052602"/>
    <n v="5"/>
    <n v="3.8470588235294101"/>
  </r>
  <r>
    <s v="T0206"/>
    <x v="5"/>
    <d v="2025-01-26T00:00:00"/>
    <s v="Sunday"/>
    <d v="1899-12-30T13:15:00"/>
    <x v="0"/>
    <n v="29"/>
    <n v="28"/>
    <n v="12.5"/>
    <n v="22"/>
    <s v="Central"/>
    <n v="1"/>
    <x v="0"/>
    <n v="22"/>
    <n v="21"/>
    <n v="4.7"/>
    <n v="0"/>
    <n v="13"/>
    <n v="1"/>
    <n v="6"/>
    <x v="0"/>
    <x v="0"/>
    <n v="0"/>
    <n v="0.95454545454545403"/>
    <n v="0"/>
    <n v="1.3181818181818099"/>
    <n v="2.3199999999999998"/>
    <n v="1"/>
    <n v="3.4760869565217298"/>
  </r>
  <r>
    <s v="T0399"/>
    <x v="1"/>
    <d v="2025-01-24T00:00:00"/>
    <s v="Friday"/>
    <d v="1899-12-30T14:00:00"/>
    <x v="1"/>
    <n v="38"/>
    <n v="32"/>
    <n v="9.5"/>
    <n v="17"/>
    <s v="North"/>
    <n v="0"/>
    <x v="0"/>
    <n v="23"/>
    <n v="21"/>
    <n v="0.9"/>
    <n v="0"/>
    <n v="14"/>
    <n v="1"/>
    <n v="4"/>
    <x v="1"/>
    <x v="0"/>
    <n v="0"/>
    <n v="0.91304347826086896"/>
    <n v="0"/>
    <n v="2.23529411764705"/>
    <n v="4"/>
    <n v="6"/>
    <n v="3.8470588235294101"/>
  </r>
  <r>
    <s v="T0228"/>
    <x v="9"/>
    <d v="2025-01-15T00:00:00"/>
    <s v="Wednesday"/>
    <d v="1899-12-30T09:30:00"/>
    <x v="2"/>
    <n v="80"/>
    <n v="79"/>
    <n v="15"/>
    <n v="28"/>
    <s v="North"/>
    <n v="0"/>
    <x v="0"/>
    <n v="31"/>
    <n v="25"/>
    <n v="9.9"/>
    <n v="0"/>
    <n v="9"/>
    <n v="1"/>
    <n v="2"/>
    <x v="1"/>
    <x v="2"/>
    <n v="0"/>
    <n v="0.80645161290322498"/>
    <n v="1"/>
    <n v="2.8571428571428501"/>
    <n v="5.3333333333333304"/>
    <n v="1"/>
    <n v="9.4749999999999996"/>
  </r>
  <r>
    <s v="T0007"/>
    <x v="5"/>
    <d v="2025-01-13T00:00:00"/>
    <s v="Monday"/>
    <d v="1899-12-30T14:00:00"/>
    <x v="5"/>
    <n v="50"/>
    <n v="45"/>
    <n v="12.5"/>
    <n v="22"/>
    <s v="Central"/>
    <n v="0"/>
    <x v="0"/>
    <n v="36"/>
    <n v="34"/>
    <n v="1.2"/>
    <n v="0"/>
    <n v="14"/>
    <n v="1"/>
    <n v="0"/>
    <x v="1"/>
    <x v="0"/>
    <n v="0"/>
    <n v="0.94444444444444398"/>
    <n v="0"/>
    <n v="2.2727272727272698"/>
    <n v="4"/>
    <n v="5"/>
    <n v="3.4760869565217298"/>
  </r>
  <r>
    <s v="T0109"/>
    <x v="3"/>
    <d v="2025-01-23T00:00:00"/>
    <s v="Thursday"/>
    <d v="1899-12-30T17:00:00"/>
    <x v="15"/>
    <n v="77"/>
    <n v="71"/>
    <n v="8.1999999999999993"/>
    <n v="15"/>
    <s v="Central"/>
    <n v="0"/>
    <x v="0"/>
    <n v="39"/>
    <n v="38"/>
    <n v="2.7"/>
    <n v="0"/>
    <n v="17"/>
    <n v="1"/>
    <n v="3"/>
    <x v="1"/>
    <x v="1"/>
    <n v="0"/>
    <n v="0.97435897435897401"/>
    <n v="0"/>
    <n v="5.1333333333333302"/>
    <n v="9.3902439024390194"/>
    <n v="6"/>
    <n v="3.6937500000000001"/>
  </r>
  <r>
    <s v="T0055"/>
    <x v="2"/>
    <d v="2025-01-28T00:00:00"/>
    <s v="Tuesday"/>
    <d v="1899-12-30T15:30:00"/>
    <x v="0"/>
    <n v="54"/>
    <n v="51"/>
    <n v="18.399999999999999"/>
    <n v="32"/>
    <s v="East"/>
    <n v="0"/>
    <x v="0"/>
    <n v="31"/>
    <n v="28"/>
    <n v="3.8"/>
    <n v="0"/>
    <n v="15"/>
    <n v="1"/>
    <n v="1"/>
    <x v="1"/>
    <x v="0"/>
    <n v="0"/>
    <n v="0.90322580645161199"/>
    <n v="0"/>
    <n v="1.6875"/>
    <n v="2.9347826086956501"/>
    <n v="3"/>
    <n v="8.6013888888888896"/>
  </r>
  <r>
    <s v="T0338"/>
    <x v="1"/>
    <d v="2025-01-04T00:00:00"/>
    <s v="Saturday"/>
    <d v="1899-12-30T14:00:00"/>
    <x v="18"/>
    <n v="35"/>
    <n v="30"/>
    <n v="9.5"/>
    <n v="17"/>
    <s v="North"/>
    <n v="0"/>
    <x v="0"/>
    <n v="30"/>
    <n v="30"/>
    <n v="3.8"/>
    <n v="0"/>
    <n v="14"/>
    <n v="1"/>
    <n v="5"/>
    <x v="0"/>
    <x v="0"/>
    <n v="0"/>
    <n v="1"/>
    <n v="0"/>
    <n v="2.0588235294117601"/>
    <n v="3.6842105263157801"/>
    <n v="5"/>
    <n v="3.8470588235294101"/>
  </r>
  <r>
    <s v="T0485"/>
    <x v="2"/>
    <d v="2025-01-27T00:00:00"/>
    <s v="Monday"/>
    <d v="1899-12-30T05:30:00"/>
    <x v="20"/>
    <n v="64"/>
    <n v="57"/>
    <n v="18.399999999999999"/>
    <n v="32"/>
    <s v="East"/>
    <n v="0"/>
    <x v="0"/>
    <n v="33"/>
    <n v="27"/>
    <n v="8.8000000000000007"/>
    <n v="1"/>
    <n v="5"/>
    <n v="1"/>
    <n v="0"/>
    <x v="1"/>
    <x v="0"/>
    <n v="0"/>
    <n v="0.81818181818181801"/>
    <n v="1"/>
    <n v="2"/>
    <n v="3.4782608695652102"/>
    <n v="7"/>
    <n v="8.6013888888888896"/>
  </r>
  <r>
    <s v="T0036"/>
    <x v="4"/>
    <d v="2025-02-18T00:00:00"/>
    <s v="Tuesday"/>
    <d v="1899-12-30T10:15:00"/>
    <x v="14"/>
    <n v="45"/>
    <n v="43"/>
    <n v="14.2"/>
    <n v="25"/>
    <s v="East"/>
    <n v="0"/>
    <x v="0"/>
    <n v="23"/>
    <n v="20"/>
    <n v="2.2999999999999998"/>
    <n v="0"/>
    <n v="10"/>
    <n v="2"/>
    <n v="1"/>
    <x v="1"/>
    <x v="0"/>
    <n v="0"/>
    <n v="0.86956521739130399"/>
    <n v="0"/>
    <n v="1.8"/>
    <n v="3.1690140845070398"/>
    <n v="2"/>
    <n v="8.3255319148936096"/>
  </r>
  <r>
    <s v="T0175"/>
    <x v="0"/>
    <d v="2025-02-09T00:00:00"/>
    <s v="Sunday"/>
    <d v="1899-12-30T11:45:00"/>
    <x v="2"/>
    <n v="30"/>
    <n v="27"/>
    <n v="10.1"/>
    <n v="19"/>
    <s v="West"/>
    <n v="0"/>
    <x v="0"/>
    <n v="31"/>
    <n v="30"/>
    <n v="7.8"/>
    <n v="0"/>
    <n v="11"/>
    <n v="2"/>
    <n v="6"/>
    <x v="0"/>
    <x v="0"/>
    <n v="0"/>
    <n v="0.967741935483871"/>
    <n v="1"/>
    <n v="1.57894736842105"/>
    <n v="2.9702970297029698"/>
    <n v="3"/>
    <n v="3.6613636363636299"/>
  </r>
  <r>
    <s v="T0276"/>
    <x v="2"/>
    <d v="2025-01-25T00:00:00"/>
    <s v="Saturday"/>
    <d v="1899-12-30T16:00:00"/>
    <x v="1"/>
    <n v="58"/>
    <n v="50"/>
    <n v="18.399999999999999"/>
    <n v="32"/>
    <s v="East"/>
    <n v="0"/>
    <x v="2"/>
    <n v="24"/>
    <n v="19"/>
    <n v="2.8"/>
    <n v="0"/>
    <n v="16"/>
    <n v="1"/>
    <n v="5"/>
    <x v="0"/>
    <x v="0"/>
    <n v="1"/>
    <n v="0.79166666666666596"/>
    <n v="0"/>
    <n v="1.8125"/>
    <n v="3.1521739130434701"/>
    <n v="8"/>
    <n v="8.6013888888888896"/>
  </r>
  <r>
    <s v="T0100"/>
    <x v="5"/>
    <d v="2025-02-13T00:00:00"/>
    <s v="Thursday"/>
    <d v="1899-12-30T07:15:00"/>
    <x v="18"/>
    <n v="97"/>
    <n v="97"/>
    <n v="12.5"/>
    <n v="22"/>
    <s v="Central"/>
    <n v="0"/>
    <x v="0"/>
    <n v="32"/>
    <n v="32"/>
    <n v="9.5"/>
    <n v="0"/>
    <n v="7"/>
    <n v="2"/>
    <n v="3"/>
    <x v="1"/>
    <x v="2"/>
    <n v="0"/>
    <n v="1"/>
    <n v="1"/>
    <n v="4.4090909090909003"/>
    <n v="7.76"/>
    <n v="0"/>
    <n v="3.4760869565217298"/>
  </r>
  <r>
    <s v="T0217"/>
    <x v="9"/>
    <d v="2025-01-30T00:00:00"/>
    <s v="Thursday"/>
    <d v="1899-12-30T10:00:00"/>
    <x v="0"/>
    <n v="55"/>
    <n v="50"/>
    <n v="15"/>
    <n v="28"/>
    <s v="North"/>
    <n v="0"/>
    <x v="0"/>
    <n v="34"/>
    <n v="29"/>
    <n v="9.1"/>
    <n v="1"/>
    <n v="10"/>
    <n v="1"/>
    <n v="3"/>
    <x v="1"/>
    <x v="0"/>
    <n v="0"/>
    <n v="0.85294117647058798"/>
    <n v="1"/>
    <n v="1.96428571428571"/>
    <n v="3.6666666666666599"/>
    <n v="5"/>
    <n v="9.4749999999999996"/>
  </r>
  <r>
    <s v="T0430"/>
    <x v="5"/>
    <d v="2025-01-30T00:00:00"/>
    <s v="Thursday"/>
    <d v="1899-12-30T16:15:00"/>
    <x v="4"/>
    <n v="34"/>
    <n v="30"/>
    <n v="12.5"/>
    <n v="22"/>
    <s v="Central"/>
    <n v="0"/>
    <x v="0"/>
    <n v="25"/>
    <n v="24"/>
    <n v="1.9"/>
    <n v="0"/>
    <n v="16"/>
    <n v="1"/>
    <n v="3"/>
    <x v="1"/>
    <x v="0"/>
    <n v="0"/>
    <n v="0.96"/>
    <n v="0"/>
    <n v="1.5454545454545401"/>
    <n v="2.72"/>
    <n v="4"/>
    <n v="3.4760869565217298"/>
  </r>
  <r>
    <s v="T0113"/>
    <x v="7"/>
    <d v="2025-01-14T00:00:00"/>
    <s v="Tuesday"/>
    <d v="1899-12-30T08:30:00"/>
    <x v="18"/>
    <n v="67"/>
    <n v="59"/>
    <n v="11.6"/>
    <n v="21"/>
    <s v="West"/>
    <n v="1"/>
    <x v="0"/>
    <n v="23"/>
    <n v="22"/>
    <n v="0.8"/>
    <n v="0"/>
    <n v="8"/>
    <n v="1"/>
    <n v="1"/>
    <x v="1"/>
    <x v="2"/>
    <n v="0"/>
    <n v="0.95652173913043403"/>
    <n v="0"/>
    <n v="3.1904761904761898"/>
    <n v="5.7758620689655098"/>
    <n v="8"/>
    <n v="2.80217391304347"/>
  </r>
  <r>
    <s v="T0322"/>
    <x v="1"/>
    <d v="2025-02-24T00:00:00"/>
    <s v="Monday"/>
    <d v="1899-12-30T06:15:00"/>
    <x v="8"/>
    <n v="48"/>
    <n v="47"/>
    <n v="9.5"/>
    <n v="17"/>
    <s v="North"/>
    <n v="0"/>
    <x v="0"/>
    <n v="23"/>
    <n v="22"/>
    <n v="1.1000000000000001"/>
    <n v="0"/>
    <n v="6"/>
    <n v="2"/>
    <n v="0"/>
    <x v="1"/>
    <x v="0"/>
    <n v="0"/>
    <n v="0.95652173913043403"/>
    <n v="0"/>
    <n v="2.8235294117646998"/>
    <n v="5.0526315789473601"/>
    <n v="1"/>
    <n v="3.8470588235294101"/>
  </r>
  <r>
    <s v="T0129"/>
    <x v="5"/>
    <d v="2025-02-03T00:00:00"/>
    <s v="Monday"/>
    <d v="1899-12-30T11:30:00"/>
    <x v="7"/>
    <n v="45"/>
    <n v="41"/>
    <n v="12.5"/>
    <n v="22"/>
    <s v="Central"/>
    <n v="0"/>
    <x v="0"/>
    <n v="30"/>
    <n v="30"/>
    <n v="0.3"/>
    <n v="0"/>
    <n v="11"/>
    <n v="2"/>
    <n v="0"/>
    <x v="1"/>
    <x v="0"/>
    <n v="0"/>
    <n v="1"/>
    <n v="0"/>
    <n v="2.0454545454545401"/>
    <n v="3.6"/>
    <n v="4"/>
    <n v="3.4760869565217298"/>
  </r>
  <r>
    <s v="T0454"/>
    <x v="8"/>
    <d v="2025-01-23T00:00:00"/>
    <s v="Thursday"/>
    <d v="1899-12-30T20:30:00"/>
    <x v="12"/>
    <n v="35"/>
    <n v="31"/>
    <n v="7.3"/>
    <n v="13"/>
    <s v="South"/>
    <n v="0"/>
    <x v="0"/>
    <n v="20"/>
    <n v="19"/>
    <n v="3.1"/>
    <n v="0"/>
    <n v="20"/>
    <n v="1"/>
    <n v="3"/>
    <x v="1"/>
    <x v="0"/>
    <n v="0"/>
    <n v="0.95"/>
    <n v="0"/>
    <n v="2.6923076923076898"/>
    <n v="4.7945205479451998"/>
    <n v="4"/>
    <n v="4.0518518518518496"/>
  </r>
  <r>
    <s v="T0373"/>
    <x v="5"/>
    <d v="2025-01-11T00:00:00"/>
    <s v="Saturday"/>
    <d v="1899-12-30T18:00:00"/>
    <x v="15"/>
    <n v="95"/>
    <n v="83"/>
    <n v="12.5"/>
    <n v="22"/>
    <s v="Central"/>
    <n v="0"/>
    <x v="1"/>
    <n v="39"/>
    <n v="37"/>
    <n v="1.4"/>
    <n v="0"/>
    <n v="18"/>
    <n v="1"/>
    <n v="5"/>
    <x v="0"/>
    <x v="1"/>
    <n v="1"/>
    <n v="0.94871794871794801"/>
    <n v="0"/>
    <n v="4.3181818181818103"/>
    <n v="7.6"/>
    <n v="12"/>
    <n v="3.4760869565217298"/>
  </r>
  <r>
    <s v="T0218"/>
    <x v="1"/>
    <d v="2025-02-12T00:00:00"/>
    <s v="Wednesday"/>
    <d v="1899-12-30T11:30:00"/>
    <x v="2"/>
    <n v="48"/>
    <n v="45"/>
    <n v="9.5"/>
    <n v="17"/>
    <s v="North"/>
    <n v="0"/>
    <x v="0"/>
    <n v="37"/>
    <n v="36"/>
    <n v="3.1"/>
    <n v="0"/>
    <n v="11"/>
    <n v="2"/>
    <n v="2"/>
    <x v="1"/>
    <x v="0"/>
    <n v="0"/>
    <n v="0.97297297297297303"/>
    <n v="0"/>
    <n v="2.8235294117646998"/>
    <n v="5.0526315789473601"/>
    <n v="3"/>
    <n v="3.8470588235294101"/>
  </r>
  <r>
    <s v="T0417"/>
    <x v="9"/>
    <d v="2025-02-04T00:00:00"/>
    <s v="Tuesday"/>
    <d v="1899-12-30T16:30:00"/>
    <x v="7"/>
    <n v="48"/>
    <n v="43"/>
    <n v="15"/>
    <n v="28"/>
    <s v="North"/>
    <n v="0"/>
    <x v="0"/>
    <n v="39"/>
    <n v="37"/>
    <n v="3.4"/>
    <n v="0"/>
    <n v="16"/>
    <n v="2"/>
    <n v="1"/>
    <x v="1"/>
    <x v="0"/>
    <n v="0"/>
    <n v="0.94871794871794801"/>
    <n v="0"/>
    <n v="1.71428571428571"/>
    <n v="3.2"/>
    <n v="5"/>
    <n v="9.4749999999999996"/>
  </r>
  <r>
    <s v="T0351"/>
    <x v="2"/>
    <d v="2025-01-08T00:00:00"/>
    <s v="Wednesday"/>
    <d v="1899-12-30T10:00:00"/>
    <x v="1"/>
    <n v="87"/>
    <n v="87"/>
    <n v="18.399999999999999"/>
    <n v="32"/>
    <s v="East"/>
    <n v="0"/>
    <x v="0"/>
    <n v="25"/>
    <n v="24"/>
    <n v="8.8000000000000007"/>
    <n v="1"/>
    <n v="10"/>
    <n v="1"/>
    <n v="2"/>
    <x v="1"/>
    <x v="0"/>
    <n v="0"/>
    <n v="0.96"/>
    <n v="1"/>
    <n v="2.71875"/>
    <n v="4.7282608695652097"/>
    <n v="0"/>
    <n v="8.6013888888888896"/>
  </r>
  <r>
    <s v="T0148"/>
    <x v="2"/>
    <d v="2025-01-10T00:00:00"/>
    <s v="Friday"/>
    <d v="1899-12-30T10:45:00"/>
    <x v="1"/>
    <n v="76"/>
    <n v="75"/>
    <n v="18.399999999999999"/>
    <n v="32"/>
    <s v="East"/>
    <n v="0"/>
    <x v="0"/>
    <n v="28"/>
    <n v="23"/>
    <n v="8.8000000000000007"/>
    <n v="1"/>
    <n v="10"/>
    <n v="1"/>
    <n v="4"/>
    <x v="1"/>
    <x v="0"/>
    <n v="0"/>
    <n v="0.82142857142857095"/>
    <n v="1"/>
    <n v="2.375"/>
    <n v="4.13043478260869"/>
    <n v="1"/>
    <n v="8.6013888888888896"/>
  </r>
  <r>
    <s v="T0280"/>
    <x v="4"/>
    <d v="2025-02-10T00:00:00"/>
    <s v="Monday"/>
    <d v="1899-12-30T11:45:00"/>
    <x v="2"/>
    <n v="42"/>
    <n v="40"/>
    <n v="14.2"/>
    <n v="25"/>
    <s v="East"/>
    <n v="0"/>
    <x v="0"/>
    <n v="23"/>
    <n v="21"/>
    <n v="6.2"/>
    <n v="0"/>
    <n v="11"/>
    <n v="2"/>
    <n v="0"/>
    <x v="1"/>
    <x v="0"/>
    <n v="0"/>
    <n v="0.91304347826086896"/>
    <n v="1"/>
    <n v="1.68"/>
    <n v="2.9577464788732302"/>
    <n v="2"/>
    <n v="8.3255319148936096"/>
  </r>
  <r>
    <s v="T0024"/>
    <x v="9"/>
    <d v="2025-02-19T00:00:00"/>
    <s v="Wednesday"/>
    <d v="1899-12-30T19:45:00"/>
    <x v="7"/>
    <n v="100"/>
    <n v="88"/>
    <n v="15"/>
    <n v="28"/>
    <s v="North"/>
    <n v="0"/>
    <x v="0"/>
    <n v="25"/>
    <n v="21"/>
    <n v="9.1"/>
    <n v="1"/>
    <n v="19"/>
    <n v="2"/>
    <n v="2"/>
    <x v="1"/>
    <x v="1"/>
    <n v="0"/>
    <n v="0.84"/>
    <n v="1"/>
    <n v="3.5714285714285698"/>
    <n v="6.6666666666666599"/>
    <n v="12"/>
    <n v="9.4749999999999996"/>
  </r>
  <r>
    <s v="T0099"/>
    <x v="5"/>
    <d v="2025-02-23T00:00:00"/>
    <s v="Sunday"/>
    <d v="1899-12-30T16:45:00"/>
    <x v="15"/>
    <n v="26"/>
    <n v="23"/>
    <n v="12.5"/>
    <n v="22"/>
    <s v="Central"/>
    <n v="0"/>
    <x v="0"/>
    <n v="18"/>
    <n v="18"/>
    <n v="2.7"/>
    <n v="1"/>
    <n v="16"/>
    <n v="2"/>
    <n v="6"/>
    <x v="0"/>
    <x v="0"/>
    <n v="0"/>
    <n v="1"/>
    <n v="0"/>
    <n v="1.1818181818181801"/>
    <n v="2.08"/>
    <n v="3"/>
    <n v="3.4760869565217298"/>
  </r>
  <r>
    <s v="T0190"/>
    <x v="3"/>
    <d v="2025-01-05T00:00:00"/>
    <s v="Sunday"/>
    <d v="1899-12-30T11:00:00"/>
    <x v="7"/>
    <n v="23"/>
    <n v="21"/>
    <n v="8.1999999999999993"/>
    <n v="15"/>
    <s v="Central"/>
    <n v="0"/>
    <x v="0"/>
    <n v="25"/>
    <n v="25"/>
    <n v="0.5"/>
    <n v="0"/>
    <n v="11"/>
    <n v="1"/>
    <n v="6"/>
    <x v="0"/>
    <x v="0"/>
    <n v="0"/>
    <n v="1"/>
    <n v="0"/>
    <n v="1.5333333333333301"/>
    <n v="2.8048780487804801"/>
    <n v="2"/>
    <n v="3.6937500000000001"/>
  </r>
  <r>
    <s v="T0119"/>
    <x v="8"/>
    <d v="2025-03-01T00:00:00"/>
    <s v="Saturday"/>
    <d v="1899-12-30T18:00:00"/>
    <x v="10"/>
    <n v="42"/>
    <n v="38"/>
    <n v="7.3"/>
    <n v="13"/>
    <s v="South"/>
    <n v="0"/>
    <x v="0"/>
    <n v="26"/>
    <n v="24"/>
    <n v="1.8"/>
    <n v="0"/>
    <n v="18"/>
    <n v="3"/>
    <n v="5"/>
    <x v="0"/>
    <x v="1"/>
    <n v="0"/>
    <n v="0.92307692307692302"/>
    <n v="0"/>
    <n v="3.2307692307692299"/>
    <n v="5.7534246575342403"/>
    <n v="4"/>
    <n v="4.0518518518518496"/>
  </r>
  <r>
    <s v="T0432"/>
    <x v="1"/>
    <d v="2025-01-21T00:00:00"/>
    <s v="Tuesday"/>
    <d v="1899-12-30T15:00:00"/>
    <x v="0"/>
    <n v="50"/>
    <n v="49"/>
    <n v="9.5"/>
    <n v="17"/>
    <s v="North"/>
    <n v="0"/>
    <x v="0"/>
    <n v="24"/>
    <n v="23"/>
    <n v="2.5"/>
    <n v="0"/>
    <n v="15"/>
    <n v="1"/>
    <n v="1"/>
    <x v="1"/>
    <x v="0"/>
    <n v="0"/>
    <n v="0.95833333333333304"/>
    <n v="0"/>
    <n v="2.9411764705882302"/>
    <n v="5.2631578947368398"/>
    <n v="1"/>
    <n v="3.8470588235294101"/>
  </r>
  <r>
    <s v="T0497"/>
    <x v="2"/>
    <d v="2025-01-02T00:00:00"/>
    <s v="Thursday"/>
    <d v="1899-12-30T07:45:00"/>
    <x v="13"/>
    <n v="91"/>
    <n v="83"/>
    <n v="18.399999999999999"/>
    <n v="32"/>
    <s v="East"/>
    <n v="0"/>
    <x v="0"/>
    <n v="38"/>
    <n v="34"/>
    <n v="1.8"/>
    <n v="0"/>
    <n v="7"/>
    <n v="1"/>
    <n v="3"/>
    <x v="1"/>
    <x v="2"/>
    <n v="0"/>
    <n v="0.89473684210526305"/>
    <n v="0"/>
    <n v="2.84375"/>
    <n v="4.9456521739130404"/>
    <n v="8"/>
    <n v="8.6013888888888896"/>
  </r>
  <r>
    <s v="T0396"/>
    <x v="7"/>
    <d v="2025-01-09T00:00:00"/>
    <s v="Thursday"/>
    <d v="1899-12-30T08:15:00"/>
    <x v="0"/>
    <n v="104"/>
    <n v="98"/>
    <n v="11.6"/>
    <n v="21"/>
    <s v="West"/>
    <n v="0"/>
    <x v="0"/>
    <n v="30"/>
    <n v="30"/>
    <n v="1.5"/>
    <n v="0"/>
    <n v="8"/>
    <n v="1"/>
    <n v="3"/>
    <x v="1"/>
    <x v="2"/>
    <n v="0"/>
    <n v="1"/>
    <n v="0"/>
    <n v="4.9523809523809499"/>
    <n v="8.9655172413793096"/>
    <n v="6"/>
    <n v="2.80217391304347"/>
  </r>
  <r>
    <s v="T0145"/>
    <x v="9"/>
    <d v="2025-01-10T00:00:00"/>
    <s v="Friday"/>
    <d v="1899-12-30T17:30:00"/>
    <x v="16"/>
    <n v="104"/>
    <n v="92"/>
    <n v="15"/>
    <n v="28"/>
    <s v="North"/>
    <n v="0"/>
    <x v="0"/>
    <n v="35"/>
    <n v="29"/>
    <n v="15.9"/>
    <n v="0"/>
    <n v="17"/>
    <n v="1"/>
    <n v="4"/>
    <x v="1"/>
    <x v="1"/>
    <n v="0"/>
    <n v="0.82857142857142796"/>
    <n v="1"/>
    <n v="3.71428571428571"/>
    <n v="6.93333333333333"/>
    <n v="12"/>
    <n v="9.4749999999999996"/>
  </r>
  <r>
    <s v="T0061"/>
    <x v="9"/>
    <d v="2025-01-03T00:00:00"/>
    <s v="Friday"/>
    <d v="1899-12-30T13:45:00"/>
    <x v="2"/>
    <n v="49"/>
    <n v="48"/>
    <n v="15"/>
    <n v="28"/>
    <s v="North"/>
    <n v="0"/>
    <x v="0"/>
    <n v="29"/>
    <n v="26"/>
    <n v="8.6"/>
    <n v="0"/>
    <n v="13"/>
    <n v="1"/>
    <n v="4"/>
    <x v="1"/>
    <x v="0"/>
    <n v="0"/>
    <n v="0.89655172413793105"/>
    <n v="1"/>
    <n v="1.75"/>
    <n v="3.2666666666666599"/>
    <n v="1"/>
    <n v="9.4749999999999996"/>
  </r>
  <r>
    <s v="T0334"/>
    <x v="5"/>
    <d v="2025-01-02T00:00:00"/>
    <s v="Thursday"/>
    <d v="1899-12-30T15:45:00"/>
    <x v="2"/>
    <n v="50"/>
    <n v="49"/>
    <n v="12.5"/>
    <n v="22"/>
    <s v="Central"/>
    <n v="0"/>
    <x v="0"/>
    <n v="33"/>
    <n v="32"/>
    <n v="7.9"/>
    <n v="0"/>
    <n v="15"/>
    <n v="1"/>
    <n v="3"/>
    <x v="1"/>
    <x v="0"/>
    <n v="0"/>
    <n v="0.96969696969696895"/>
    <n v="1"/>
    <n v="2.2727272727272698"/>
    <n v="4"/>
    <n v="1"/>
    <n v="3.4760869565217298"/>
  </r>
  <r>
    <s v="T0390"/>
    <x v="4"/>
    <d v="2025-01-02T00:00:00"/>
    <s v="Thursday"/>
    <d v="1899-12-30T18:15:00"/>
    <x v="3"/>
    <n v="78"/>
    <n v="72"/>
    <n v="14.2"/>
    <n v="25"/>
    <s v="East"/>
    <n v="0"/>
    <x v="0"/>
    <n v="29"/>
    <n v="24"/>
    <n v="14.8"/>
    <n v="0"/>
    <n v="18"/>
    <n v="1"/>
    <n v="3"/>
    <x v="1"/>
    <x v="1"/>
    <n v="0"/>
    <n v="0.82758620689655105"/>
    <n v="1"/>
    <n v="3.12"/>
    <n v="5.4929577464788704"/>
    <n v="6"/>
    <n v="8.3255319148936096"/>
  </r>
  <r>
    <s v="T0383"/>
    <x v="0"/>
    <d v="2025-01-05T00:00:00"/>
    <s v="Sunday"/>
    <d v="1899-12-30T07:30:00"/>
    <x v="5"/>
    <n v="49"/>
    <n v="46"/>
    <n v="10.1"/>
    <n v="19"/>
    <s v="West"/>
    <n v="0"/>
    <x v="0"/>
    <n v="34"/>
    <n v="34"/>
    <n v="0.8"/>
    <n v="0"/>
    <n v="7"/>
    <n v="1"/>
    <n v="6"/>
    <x v="0"/>
    <x v="2"/>
    <n v="0"/>
    <n v="1"/>
    <n v="0"/>
    <n v="2.57894736842105"/>
    <n v="4.8514851485148496"/>
    <n v="3"/>
    <n v="3.6613636363636299"/>
  </r>
  <r>
    <s v="T0152"/>
    <x v="3"/>
    <d v="2025-01-24T00:00:00"/>
    <s v="Friday"/>
    <d v="1899-12-30T17:30:00"/>
    <x v="1"/>
    <n v="90"/>
    <n v="90"/>
    <n v="8.1999999999999993"/>
    <n v="15"/>
    <s v="Central"/>
    <n v="0"/>
    <x v="0"/>
    <n v="20"/>
    <n v="19"/>
    <n v="3.3"/>
    <n v="0"/>
    <n v="17"/>
    <n v="1"/>
    <n v="4"/>
    <x v="1"/>
    <x v="1"/>
    <n v="0"/>
    <n v="0.95"/>
    <n v="0"/>
    <n v="6"/>
    <n v="10.9756097560975"/>
    <n v="0"/>
    <n v="3.6937500000000001"/>
  </r>
  <r>
    <s v="T0187"/>
    <x v="4"/>
    <d v="2025-02-20T00:00:00"/>
    <s v="Thursday"/>
    <d v="1899-12-30T17:00:00"/>
    <x v="19"/>
    <n v="85"/>
    <n v="78"/>
    <n v="14.2"/>
    <n v="25"/>
    <s v="East"/>
    <n v="0"/>
    <x v="0"/>
    <n v="20"/>
    <n v="17"/>
    <n v="6.6"/>
    <n v="0"/>
    <n v="17"/>
    <n v="2"/>
    <n v="3"/>
    <x v="1"/>
    <x v="1"/>
    <n v="0"/>
    <n v="0.85"/>
    <n v="1"/>
    <n v="3.4"/>
    <n v="5.9859154929577398"/>
    <n v="7"/>
    <n v="8.3255319148936096"/>
  </r>
  <r>
    <s v="T0170"/>
    <x v="2"/>
    <d v="2025-01-11T00:00:00"/>
    <s v="Saturday"/>
    <d v="1899-12-30T17:45:00"/>
    <x v="17"/>
    <n v="109"/>
    <n v="107"/>
    <n v="18.399999999999999"/>
    <n v="32"/>
    <s v="East"/>
    <n v="0"/>
    <x v="1"/>
    <n v="36"/>
    <n v="30"/>
    <n v="19.600000000000001"/>
    <n v="0"/>
    <n v="17"/>
    <n v="1"/>
    <n v="5"/>
    <x v="0"/>
    <x v="1"/>
    <n v="1"/>
    <n v="0.83333333333333304"/>
    <n v="1"/>
    <n v="3.40625"/>
    <n v="5.9239130434782599"/>
    <n v="2"/>
    <n v="8.6013888888888896"/>
  </r>
  <r>
    <s v="T0012"/>
    <x v="7"/>
    <d v="2025-02-15T00:00:00"/>
    <s v="Saturday"/>
    <d v="1899-12-30T05:45:00"/>
    <x v="0"/>
    <n v="48"/>
    <n v="41"/>
    <n v="11.6"/>
    <n v="21"/>
    <s v="West"/>
    <n v="0"/>
    <x v="3"/>
    <n v="20"/>
    <n v="19"/>
    <n v="3.9"/>
    <n v="0"/>
    <n v="5"/>
    <n v="2"/>
    <n v="5"/>
    <x v="0"/>
    <x v="0"/>
    <n v="1"/>
    <n v="0.95"/>
    <n v="0"/>
    <n v="2.2857142857142798"/>
    <n v="4.13793103448275"/>
    <n v="7"/>
    <n v="2.80217391304347"/>
  </r>
  <r>
    <s v="T0348"/>
    <x v="5"/>
    <d v="2025-01-02T00:00:00"/>
    <s v="Thursday"/>
    <d v="1899-12-30T18:00:00"/>
    <x v="15"/>
    <n v="79"/>
    <n v="76"/>
    <n v="12.5"/>
    <n v="22"/>
    <s v="Central"/>
    <n v="0"/>
    <x v="0"/>
    <n v="33"/>
    <n v="32"/>
    <n v="7.9"/>
    <n v="0"/>
    <n v="18"/>
    <n v="1"/>
    <n v="3"/>
    <x v="1"/>
    <x v="1"/>
    <n v="0"/>
    <n v="0.96969696969696895"/>
    <n v="1"/>
    <n v="3.5909090909090899"/>
    <n v="6.32"/>
    <n v="3"/>
    <n v="3.4760869565217298"/>
  </r>
  <r>
    <s v="T0466"/>
    <x v="9"/>
    <d v="2025-02-09T00:00:00"/>
    <s v="Sunday"/>
    <d v="1899-12-30T08:45:00"/>
    <x v="22"/>
    <n v="59"/>
    <n v="57"/>
    <n v="15"/>
    <n v="28"/>
    <s v="North"/>
    <n v="0"/>
    <x v="0"/>
    <n v="21"/>
    <n v="20"/>
    <n v="9.1"/>
    <n v="1"/>
    <n v="8"/>
    <n v="2"/>
    <n v="6"/>
    <x v="0"/>
    <x v="2"/>
    <n v="0"/>
    <n v="0.952380952380952"/>
    <n v="1"/>
    <n v="2.1071428571428501"/>
    <n v="3.93333333333333"/>
    <n v="2"/>
    <n v="9.4749999999999996"/>
  </r>
  <r>
    <s v="T0287"/>
    <x v="6"/>
    <d v="2025-02-03T00:00:00"/>
    <s v="Monday"/>
    <d v="1899-12-30T07:30:00"/>
    <x v="14"/>
    <n v="73"/>
    <n v="65"/>
    <n v="6.8"/>
    <n v="12"/>
    <s v="South"/>
    <n v="0"/>
    <x v="0"/>
    <n v="37"/>
    <n v="36"/>
    <n v="0.8"/>
    <n v="0"/>
    <n v="7"/>
    <n v="2"/>
    <n v="0"/>
    <x v="1"/>
    <x v="2"/>
    <n v="0"/>
    <n v="0.97297297297297303"/>
    <n v="0"/>
    <n v="6.0833333333333304"/>
    <n v="10.735294117646999"/>
    <n v="8"/>
    <n v="2.7611111111111102"/>
  </r>
  <r>
    <s v="T0182"/>
    <x v="5"/>
    <d v="2025-01-27T00:00:00"/>
    <s v="Monday"/>
    <d v="1899-12-30T16:15:00"/>
    <x v="20"/>
    <n v="43"/>
    <n v="40"/>
    <n v="12.5"/>
    <n v="22"/>
    <s v="Central"/>
    <n v="0"/>
    <x v="0"/>
    <n v="24"/>
    <n v="23"/>
    <n v="0.5"/>
    <n v="0"/>
    <n v="16"/>
    <n v="1"/>
    <n v="0"/>
    <x v="1"/>
    <x v="0"/>
    <n v="0"/>
    <n v="0.95833333333333304"/>
    <n v="0"/>
    <n v="1.9545454545454499"/>
    <n v="3.44"/>
    <n v="3"/>
    <n v="3.4760869565217298"/>
  </r>
  <r>
    <s v="T0319"/>
    <x v="5"/>
    <d v="2025-01-30T00:00:00"/>
    <s v="Thursday"/>
    <d v="1899-12-30T18:15:00"/>
    <x v="19"/>
    <n v="70"/>
    <n v="60"/>
    <n v="12.5"/>
    <n v="22"/>
    <s v="Central"/>
    <n v="0"/>
    <x v="0"/>
    <n v="25"/>
    <n v="24"/>
    <n v="1.9"/>
    <n v="0"/>
    <n v="18"/>
    <n v="1"/>
    <n v="3"/>
    <x v="1"/>
    <x v="1"/>
    <n v="0"/>
    <n v="0.96"/>
    <n v="0"/>
    <n v="3.1818181818181799"/>
    <n v="5.6"/>
    <n v="10"/>
    <n v="3.4760869565217298"/>
  </r>
  <r>
    <s v="T0127"/>
    <x v="4"/>
    <d v="2025-01-27T00:00:00"/>
    <s v="Monday"/>
    <d v="1899-12-30T20:15:00"/>
    <x v="11"/>
    <n v="61"/>
    <n v="55"/>
    <n v="14.2"/>
    <n v="25"/>
    <s v="East"/>
    <n v="0"/>
    <x v="0"/>
    <n v="27"/>
    <n v="24"/>
    <n v="12.8"/>
    <n v="0"/>
    <n v="20"/>
    <n v="1"/>
    <n v="0"/>
    <x v="1"/>
    <x v="0"/>
    <n v="0"/>
    <n v="0.88888888888888795"/>
    <n v="1"/>
    <n v="2.44"/>
    <n v="4.2957746478873204"/>
    <n v="6"/>
    <n v="8.3255319148936096"/>
  </r>
  <r>
    <s v="T0205"/>
    <x v="2"/>
    <d v="2025-01-14T00:00:00"/>
    <s v="Tuesday"/>
    <d v="1899-12-30T07:15:00"/>
    <x v="11"/>
    <n v="122.625"/>
    <n v="124"/>
    <n v="18.399999999999999"/>
    <n v="32"/>
    <s v="East"/>
    <n v="1"/>
    <x v="0"/>
    <n v="18"/>
    <n v="17"/>
    <n v="5.9"/>
    <n v="0"/>
    <n v="7"/>
    <n v="1"/>
    <n v="1"/>
    <x v="1"/>
    <x v="2"/>
    <n v="0"/>
    <n v="0.94444444444444398"/>
    <n v="1"/>
    <n v="3.83203125"/>
    <n v="6.6644021739130404"/>
    <n v="-1.375"/>
    <n v="8.6013888888888896"/>
  </r>
  <r>
    <s v="T0392"/>
    <x v="9"/>
    <d v="2025-01-01T00:00:00"/>
    <s v="Wednesday"/>
    <d v="1899-12-30T13:45:00"/>
    <x v="3"/>
    <n v="61"/>
    <n v="52"/>
    <n v="15"/>
    <n v="28"/>
    <s v="North"/>
    <n v="1"/>
    <x v="0"/>
    <n v="25"/>
    <n v="23"/>
    <n v="14.9"/>
    <n v="0"/>
    <n v="13"/>
    <n v="1"/>
    <n v="2"/>
    <x v="1"/>
    <x v="0"/>
    <n v="0"/>
    <n v="0.92"/>
    <n v="1"/>
    <n v="2.1785714285714199"/>
    <n v="4.0666666666666602"/>
    <n v="9"/>
    <n v="9.4749999999999996"/>
  </r>
  <r>
    <s v="T0128"/>
    <x v="4"/>
    <d v="2025-02-20T00:00:00"/>
    <s v="Thursday"/>
    <d v="1899-12-30T07:15:00"/>
    <x v="13"/>
    <n v="83"/>
    <n v="73"/>
    <n v="14.2"/>
    <n v="25"/>
    <s v="East"/>
    <n v="0"/>
    <x v="0"/>
    <n v="20"/>
    <n v="17"/>
    <n v="6.6"/>
    <n v="0"/>
    <n v="7"/>
    <n v="2"/>
    <n v="3"/>
    <x v="1"/>
    <x v="2"/>
    <n v="0"/>
    <n v="0.85"/>
    <n v="1"/>
    <n v="3.32"/>
    <n v="5.8450704225352101"/>
    <n v="10"/>
    <n v="8.3255319148936096"/>
  </r>
  <r>
    <s v="T0366"/>
    <x v="9"/>
    <d v="2025-01-12T00:00:00"/>
    <s v="Sunday"/>
    <d v="1899-12-30T20:15:00"/>
    <x v="5"/>
    <n v="37"/>
    <n v="32"/>
    <n v="15"/>
    <n v="28"/>
    <s v="North"/>
    <n v="0"/>
    <x v="0"/>
    <n v="20"/>
    <n v="17"/>
    <n v="13.4"/>
    <n v="0"/>
    <n v="20"/>
    <n v="1"/>
    <n v="6"/>
    <x v="0"/>
    <x v="0"/>
    <n v="0"/>
    <n v="0.85"/>
    <n v="1"/>
    <n v="1.3214285714285701"/>
    <n v="2.4666666666666601"/>
    <n v="5"/>
    <n v="9.4749999999999996"/>
  </r>
  <r>
    <s v="T0167"/>
    <x v="9"/>
    <d v="2025-02-24T00:00:00"/>
    <s v="Monday"/>
    <d v="1899-12-30T18:30:00"/>
    <x v="17"/>
    <n v="89"/>
    <n v="81"/>
    <n v="15"/>
    <n v="28"/>
    <s v="North"/>
    <n v="0"/>
    <x v="0"/>
    <n v="34"/>
    <n v="28"/>
    <n v="12.8"/>
    <n v="0"/>
    <n v="18"/>
    <n v="2"/>
    <n v="0"/>
    <x v="1"/>
    <x v="1"/>
    <n v="0"/>
    <n v="0.82352941176470495"/>
    <n v="1"/>
    <n v="3.1785714285714199"/>
    <n v="5.93333333333333"/>
    <n v="8"/>
    <n v="9.4749999999999996"/>
  </r>
  <r>
    <s v="T0058"/>
    <x v="3"/>
    <d v="2025-01-31T00:00:00"/>
    <s v="Friday"/>
    <d v="1899-12-30T18:30:00"/>
    <x v="0"/>
    <n v="58"/>
    <n v="51"/>
    <n v="8.1999999999999993"/>
    <n v="15"/>
    <s v="Central"/>
    <n v="0"/>
    <x v="0"/>
    <n v="27"/>
    <n v="27"/>
    <n v="3.5"/>
    <n v="0"/>
    <n v="18"/>
    <n v="1"/>
    <n v="4"/>
    <x v="1"/>
    <x v="1"/>
    <n v="0"/>
    <n v="1"/>
    <n v="0"/>
    <n v="3.86666666666666"/>
    <n v="7.07317073170731"/>
    <n v="7"/>
    <n v="3.6937500000000001"/>
  </r>
  <r>
    <s v="T0388"/>
    <x v="3"/>
    <d v="2025-01-13T00:00:00"/>
    <s v="Monday"/>
    <d v="1899-12-30T16:00:00"/>
    <x v="8"/>
    <n v="42"/>
    <n v="40"/>
    <n v="8.1999999999999993"/>
    <n v="15"/>
    <s v="Central"/>
    <n v="0"/>
    <x v="0"/>
    <n v="29"/>
    <n v="27"/>
    <n v="1.2"/>
    <n v="0"/>
    <n v="16"/>
    <n v="1"/>
    <n v="0"/>
    <x v="1"/>
    <x v="0"/>
    <n v="0"/>
    <n v="0.93103448275862"/>
    <n v="0"/>
    <n v="2.8"/>
    <n v="5.1219512195121899"/>
    <n v="2"/>
    <n v="3.6937500000000001"/>
  </r>
  <r>
    <s v="T0131"/>
    <x v="9"/>
    <d v="2025-02-26T00:00:00"/>
    <s v="Wednesday"/>
    <d v="1899-12-30T07:00:00"/>
    <x v="2"/>
    <n v="101"/>
    <n v="100"/>
    <n v="15"/>
    <n v="28"/>
    <s v="North"/>
    <n v="0"/>
    <x v="0"/>
    <n v="32"/>
    <n v="27"/>
    <n v="15.1"/>
    <n v="0"/>
    <n v="7"/>
    <n v="2"/>
    <n v="2"/>
    <x v="1"/>
    <x v="2"/>
    <n v="0"/>
    <n v="0.84375"/>
    <n v="1"/>
    <n v="3.6071428571428501"/>
    <n v="6.7333333333333298"/>
    <n v="1"/>
    <n v="9.4749999999999996"/>
  </r>
  <r>
    <s v="T0480"/>
    <x v="2"/>
    <d v="2025-01-29T00:00:00"/>
    <s v="Wednesday"/>
    <d v="1899-12-30T09:45:00"/>
    <x v="18"/>
    <n v="122.625"/>
    <n v="119"/>
    <n v="18.399999999999999"/>
    <n v="32"/>
    <s v="East"/>
    <n v="0"/>
    <x v="0"/>
    <n v="37"/>
    <n v="35"/>
    <n v="8.8000000000000007"/>
    <n v="0"/>
    <n v="9"/>
    <n v="1"/>
    <n v="2"/>
    <x v="1"/>
    <x v="2"/>
    <n v="0"/>
    <n v="0.94594594594594505"/>
    <n v="1"/>
    <n v="3.83203125"/>
    <n v="6.6644021739130404"/>
    <n v="3.625"/>
    <n v="8.6013888888888896"/>
  </r>
  <r>
    <s v="T0238"/>
    <x v="5"/>
    <d v="2025-01-02T00:00:00"/>
    <s v="Thursday"/>
    <d v="1899-12-30T16:45:00"/>
    <x v="15"/>
    <n v="41"/>
    <n v="40"/>
    <n v="12.5"/>
    <n v="22"/>
    <s v="Central"/>
    <n v="0"/>
    <x v="0"/>
    <n v="33"/>
    <n v="32"/>
    <n v="7.9"/>
    <n v="0"/>
    <n v="16"/>
    <n v="1"/>
    <n v="3"/>
    <x v="1"/>
    <x v="0"/>
    <n v="0"/>
    <n v="0.96969696969696895"/>
    <n v="1"/>
    <n v="1.86363636363636"/>
    <n v="3.28"/>
    <n v="1"/>
    <n v="3.4760869565217298"/>
  </r>
  <r>
    <s v="T0075"/>
    <x v="1"/>
    <d v="2025-01-01T00:00:00"/>
    <s v="Wednesday"/>
    <d v="1899-12-30T14:45:00"/>
    <x v="8"/>
    <n v="56"/>
    <n v="48"/>
    <n v="9.5"/>
    <n v="17"/>
    <s v="North"/>
    <n v="1"/>
    <x v="0"/>
    <n v="18"/>
    <n v="17"/>
    <n v="4.5"/>
    <n v="0"/>
    <n v="14"/>
    <n v="1"/>
    <n v="2"/>
    <x v="1"/>
    <x v="0"/>
    <n v="0"/>
    <n v="0.94444444444444398"/>
    <n v="0"/>
    <n v="3.2941176470588198"/>
    <n v="5.8947368421052602"/>
    <n v="8"/>
    <n v="3.8470588235294101"/>
  </r>
  <r>
    <s v="T0244"/>
    <x v="9"/>
    <d v="2025-02-20T00:00:00"/>
    <s v="Thursday"/>
    <d v="1899-12-30T16:30:00"/>
    <x v="2"/>
    <n v="66"/>
    <n v="60"/>
    <n v="15"/>
    <n v="28"/>
    <s v="North"/>
    <n v="0"/>
    <x v="0"/>
    <n v="33"/>
    <n v="27"/>
    <n v="16.100000000000001"/>
    <n v="0"/>
    <n v="16"/>
    <n v="2"/>
    <n v="3"/>
    <x v="1"/>
    <x v="0"/>
    <n v="0"/>
    <n v="0.81818181818181801"/>
    <n v="1"/>
    <n v="2.3571428571428501"/>
    <n v="4.4000000000000004"/>
    <n v="6"/>
    <n v="9.4749999999999996"/>
  </r>
  <r>
    <s v="T0092"/>
    <x v="1"/>
    <d v="2025-02-23T00:00:00"/>
    <s v="Sunday"/>
    <d v="1899-12-30T15:15:00"/>
    <x v="17"/>
    <n v="29"/>
    <n v="25"/>
    <n v="9.5"/>
    <n v="17"/>
    <s v="North"/>
    <n v="0"/>
    <x v="0"/>
    <n v="27"/>
    <n v="26"/>
    <n v="1.8"/>
    <n v="0"/>
    <n v="15"/>
    <n v="2"/>
    <n v="6"/>
    <x v="0"/>
    <x v="0"/>
    <n v="0"/>
    <n v="0.96296296296296202"/>
    <n v="0"/>
    <n v="1.70588235294117"/>
    <n v="3.0526315789473601"/>
    <n v="4"/>
    <n v="3.8470588235294101"/>
  </r>
  <r>
    <s v="T0379"/>
    <x v="4"/>
    <d v="2025-01-06T00:00:00"/>
    <s v="Monday"/>
    <d v="1899-12-30T14:45:00"/>
    <x v="2"/>
    <n v="52"/>
    <n v="50"/>
    <n v="14.2"/>
    <n v="25"/>
    <s v="East"/>
    <n v="0"/>
    <x v="0"/>
    <n v="26"/>
    <n v="25"/>
    <n v="5.6"/>
    <n v="0"/>
    <n v="14"/>
    <n v="1"/>
    <n v="0"/>
    <x v="1"/>
    <x v="0"/>
    <n v="0"/>
    <n v="0.96153846153846101"/>
    <n v="1"/>
    <n v="2.08"/>
    <n v="3.6619718309859102"/>
    <n v="2"/>
    <n v="8.3255319148936096"/>
  </r>
  <r>
    <s v="T0308"/>
    <x v="9"/>
    <d v="2025-02-02T00:00:00"/>
    <s v="Sunday"/>
    <d v="1899-12-30T06:00:00"/>
    <x v="5"/>
    <n v="39"/>
    <n v="39"/>
    <n v="15"/>
    <n v="28"/>
    <s v="North"/>
    <n v="0"/>
    <x v="0"/>
    <n v="31"/>
    <n v="27"/>
    <n v="14"/>
    <n v="0"/>
    <n v="6"/>
    <n v="2"/>
    <n v="6"/>
    <x v="0"/>
    <x v="0"/>
    <n v="0"/>
    <n v="0.87096774193548299"/>
    <n v="1"/>
    <n v="1.3928571428571399"/>
    <n v="2.6"/>
    <n v="0"/>
    <n v="9.4749999999999996"/>
  </r>
  <r>
    <s v="T0419"/>
    <x v="0"/>
    <d v="2025-01-01T00:00:00"/>
    <s v="Wednesday"/>
    <d v="1899-12-30T08:15:00"/>
    <x v="1"/>
    <n v="85"/>
    <n v="73"/>
    <n v="10.1"/>
    <n v="19"/>
    <s v="West"/>
    <n v="1"/>
    <x v="0"/>
    <n v="38"/>
    <n v="38"/>
    <n v="0.9"/>
    <n v="0"/>
    <n v="8"/>
    <n v="1"/>
    <n v="2"/>
    <x v="1"/>
    <x v="2"/>
    <n v="0"/>
    <n v="1"/>
    <n v="0"/>
    <n v="4.4736842105263097"/>
    <n v="8.4158415841584109"/>
    <n v="12"/>
    <n v="3.6613636363636299"/>
  </r>
  <r>
    <s v="T0157"/>
    <x v="0"/>
    <d v="2025-01-02T00:00:00"/>
    <s v="Thursday"/>
    <d v="1899-12-30T08:00:00"/>
    <x v="16"/>
    <n v="78"/>
    <n v="74"/>
    <n v="10.1"/>
    <n v="19"/>
    <s v="West"/>
    <n v="0"/>
    <x v="0"/>
    <n v="30"/>
    <n v="30"/>
    <n v="3.3"/>
    <n v="1"/>
    <n v="8"/>
    <n v="1"/>
    <n v="3"/>
    <x v="1"/>
    <x v="2"/>
    <n v="0"/>
    <n v="1"/>
    <n v="0"/>
    <n v="4.1052631578947301"/>
    <n v="7.7227722772277199"/>
    <n v="4"/>
    <n v="3.6613636363636299"/>
  </r>
  <r>
    <s v="T0343"/>
    <x v="3"/>
    <d v="2025-01-30T00:00:00"/>
    <s v="Thursday"/>
    <d v="1899-12-30T18:45:00"/>
    <x v="14"/>
    <n v="65"/>
    <n v="59"/>
    <n v="8.1999999999999993"/>
    <n v="15"/>
    <s v="Central"/>
    <n v="0"/>
    <x v="0"/>
    <n v="24"/>
    <n v="24"/>
    <n v="0.9"/>
    <n v="0"/>
    <n v="18"/>
    <n v="1"/>
    <n v="3"/>
    <x v="1"/>
    <x v="1"/>
    <n v="0"/>
    <n v="1"/>
    <n v="0"/>
    <n v="4.3333333333333304"/>
    <n v="7.9268292682926802"/>
    <n v="6"/>
    <n v="3.6937500000000001"/>
  </r>
  <r>
    <s v="T0086"/>
    <x v="9"/>
    <d v="2025-01-31T00:00:00"/>
    <s v="Friday"/>
    <d v="1899-12-30T17:30:00"/>
    <x v="1"/>
    <n v="96"/>
    <n v="95"/>
    <n v="15"/>
    <n v="28"/>
    <s v="North"/>
    <n v="0"/>
    <x v="0"/>
    <n v="33"/>
    <n v="28"/>
    <n v="9"/>
    <n v="0"/>
    <n v="17"/>
    <n v="1"/>
    <n v="4"/>
    <x v="1"/>
    <x v="1"/>
    <n v="0"/>
    <n v="0.84848484848484795"/>
    <n v="1"/>
    <n v="3.4285714285714199"/>
    <n v="6.4"/>
    <n v="1"/>
    <n v="9.4749999999999996"/>
  </r>
  <r>
    <s v="T0191"/>
    <x v="5"/>
    <d v="2025-01-18T00:00:00"/>
    <s v="Saturday"/>
    <d v="1899-12-30T10:15:00"/>
    <x v="1"/>
    <n v="48"/>
    <n v="46"/>
    <n v="12.5"/>
    <n v="22"/>
    <s v="Central"/>
    <n v="0"/>
    <x v="3"/>
    <n v="28"/>
    <n v="28"/>
    <n v="5.8"/>
    <n v="0"/>
    <n v="10"/>
    <n v="1"/>
    <n v="5"/>
    <x v="0"/>
    <x v="0"/>
    <n v="1"/>
    <n v="1"/>
    <n v="1"/>
    <n v="2.1818181818181799"/>
    <n v="3.84"/>
    <n v="2"/>
    <n v="3.4760869565217298"/>
  </r>
  <r>
    <s v="T0040"/>
    <x v="6"/>
    <d v="2025-01-25T00:00:00"/>
    <s v="Saturday"/>
    <d v="1899-12-30T17:00:00"/>
    <x v="16"/>
    <n v="65"/>
    <n v="58"/>
    <n v="6.8"/>
    <n v="12"/>
    <s v="South"/>
    <n v="0"/>
    <x v="2"/>
    <n v="22"/>
    <n v="22"/>
    <n v="1.3"/>
    <n v="0"/>
    <n v="17"/>
    <n v="1"/>
    <n v="5"/>
    <x v="0"/>
    <x v="1"/>
    <n v="1"/>
    <n v="1"/>
    <n v="0"/>
    <n v="5.4166666666666599"/>
    <n v="9.5588235294117592"/>
    <n v="7"/>
    <n v="2.7611111111111102"/>
  </r>
  <r>
    <s v="T0112"/>
    <x v="3"/>
    <d v="2025-01-21T00:00:00"/>
    <s v="Tuesday"/>
    <d v="1899-12-30T14:15:00"/>
    <x v="1"/>
    <n v="41"/>
    <n v="41"/>
    <n v="8.1999999999999993"/>
    <n v="15"/>
    <s v="Central"/>
    <n v="0"/>
    <x v="0"/>
    <n v="39"/>
    <n v="38"/>
    <n v="1.3"/>
    <n v="0"/>
    <n v="14"/>
    <n v="1"/>
    <n v="1"/>
    <x v="1"/>
    <x v="0"/>
    <n v="0"/>
    <n v="0.97435897435897401"/>
    <n v="0"/>
    <n v="2.7333333333333298"/>
    <n v="5"/>
    <n v="0"/>
    <n v="3.6937500000000001"/>
  </r>
  <r>
    <s v="T0384"/>
    <x v="8"/>
    <d v="2025-01-23T00:00:00"/>
    <s v="Thursday"/>
    <d v="1899-12-30T09:45:00"/>
    <x v="1"/>
    <n v="66"/>
    <n v="63"/>
    <n v="7.3"/>
    <n v="13"/>
    <s v="South"/>
    <n v="0"/>
    <x v="0"/>
    <n v="20"/>
    <n v="19"/>
    <n v="3.1"/>
    <n v="0"/>
    <n v="9"/>
    <n v="1"/>
    <n v="3"/>
    <x v="1"/>
    <x v="2"/>
    <n v="0"/>
    <n v="0.95"/>
    <n v="0"/>
    <n v="5.0769230769230704"/>
    <n v="9.0410958904109595"/>
    <n v="3"/>
    <n v="4.0518518518518496"/>
  </r>
  <r>
    <s v="T0336"/>
    <x v="5"/>
    <d v="2025-01-28T00:00:00"/>
    <s v="Tuesday"/>
    <d v="1899-12-30T14:45:00"/>
    <x v="4"/>
    <n v="52"/>
    <n v="46"/>
    <n v="12.5"/>
    <n v="22"/>
    <s v="Central"/>
    <n v="0"/>
    <x v="0"/>
    <n v="29"/>
    <n v="27"/>
    <n v="4.8"/>
    <n v="0"/>
    <n v="14"/>
    <n v="1"/>
    <n v="1"/>
    <x v="1"/>
    <x v="0"/>
    <n v="0"/>
    <n v="0.93103448275862"/>
    <n v="0"/>
    <n v="2.3636363636363602"/>
    <n v="4.16"/>
    <n v="6"/>
    <n v="3.4760869565217298"/>
  </r>
  <r>
    <s v="T0439"/>
    <x v="1"/>
    <d v="2025-01-04T00:00:00"/>
    <s v="Saturday"/>
    <d v="1899-12-30T08:30:00"/>
    <x v="18"/>
    <n v="58"/>
    <n v="57"/>
    <n v="9.5"/>
    <n v="17"/>
    <s v="North"/>
    <n v="0"/>
    <x v="0"/>
    <n v="30"/>
    <n v="30"/>
    <n v="3.8"/>
    <n v="0"/>
    <n v="8"/>
    <n v="1"/>
    <n v="5"/>
    <x v="0"/>
    <x v="2"/>
    <n v="0"/>
    <n v="1"/>
    <n v="0"/>
    <n v="3.4117647058823501"/>
    <n v="6.1052631578947301"/>
    <n v="1"/>
    <n v="3.8470588235294101"/>
  </r>
  <r>
    <s v="T0005"/>
    <x v="5"/>
    <d v="2025-02-22T00:00:00"/>
    <s v="Saturday"/>
    <d v="1899-12-30T12:30:00"/>
    <x v="12"/>
    <n v="47"/>
    <n v="40"/>
    <n v="12.5"/>
    <n v="22"/>
    <s v="Central"/>
    <n v="0"/>
    <x v="2"/>
    <n v="23"/>
    <n v="23"/>
    <n v="9.4"/>
    <n v="0"/>
    <n v="12"/>
    <n v="2"/>
    <n v="5"/>
    <x v="0"/>
    <x v="0"/>
    <n v="1"/>
    <n v="1"/>
    <n v="1"/>
    <n v="2.13636363636363"/>
    <n v="3.76"/>
    <n v="7"/>
    <n v="3.4760869565217298"/>
  </r>
  <r>
    <s v="T0470"/>
    <x v="7"/>
    <d v="2025-01-06T00:00:00"/>
    <s v="Monday"/>
    <d v="1899-12-30T13:00:00"/>
    <x v="18"/>
    <n v="45"/>
    <n v="44"/>
    <n v="11.6"/>
    <n v="21"/>
    <s v="West"/>
    <n v="0"/>
    <x v="0"/>
    <n v="24"/>
    <n v="24"/>
    <n v="4.8"/>
    <n v="0"/>
    <n v="13"/>
    <n v="1"/>
    <n v="0"/>
    <x v="1"/>
    <x v="0"/>
    <n v="0"/>
    <n v="1"/>
    <n v="0"/>
    <n v="2.1428571428571401"/>
    <n v="3.8793103448275801"/>
    <n v="1"/>
    <n v="2.80217391304347"/>
  </r>
  <r>
    <s v="T0105"/>
    <x v="8"/>
    <d v="2025-02-26T00:00:00"/>
    <s v="Wednesday"/>
    <d v="1899-12-30T18:45:00"/>
    <x v="19"/>
    <n v="60"/>
    <n v="57"/>
    <n v="7.3"/>
    <n v="13"/>
    <s v="South"/>
    <n v="0"/>
    <x v="0"/>
    <n v="30"/>
    <n v="29"/>
    <n v="4.2"/>
    <n v="0"/>
    <n v="18"/>
    <n v="2"/>
    <n v="2"/>
    <x v="1"/>
    <x v="1"/>
    <n v="0"/>
    <n v="0.96666666666666601"/>
    <n v="0"/>
    <n v="4.6153846153846096"/>
    <n v="8.2191780821917799"/>
    <n v="3"/>
    <n v="4.0518518518518496"/>
  </r>
  <r>
    <s v="T0340"/>
    <x v="5"/>
    <d v="2025-01-06T00:00:00"/>
    <s v="Monday"/>
    <d v="1899-12-30T14:45:00"/>
    <x v="7"/>
    <n v="32"/>
    <n v="30"/>
    <n v="12.5"/>
    <n v="22"/>
    <s v="Central"/>
    <n v="0"/>
    <x v="0"/>
    <n v="38"/>
    <n v="35"/>
    <n v="5.9"/>
    <n v="0"/>
    <n v="14"/>
    <n v="1"/>
    <n v="0"/>
    <x v="1"/>
    <x v="0"/>
    <n v="0"/>
    <n v="0.92105263157894701"/>
    <n v="1"/>
    <n v="1.4545454545454499"/>
    <n v="2.56"/>
    <n v="2"/>
    <n v="3.4760869565217298"/>
  </r>
  <r>
    <s v="T0450"/>
    <x v="5"/>
    <d v="2025-02-01T00:00:00"/>
    <s v="Saturday"/>
    <d v="1899-12-30T16:45:00"/>
    <x v="2"/>
    <n v="33"/>
    <n v="29"/>
    <n v="12.5"/>
    <n v="22"/>
    <s v="Central"/>
    <n v="0"/>
    <x v="0"/>
    <n v="32"/>
    <n v="30"/>
    <n v="2.2999999999999998"/>
    <n v="0"/>
    <n v="16"/>
    <n v="2"/>
    <n v="5"/>
    <x v="0"/>
    <x v="0"/>
    <n v="0"/>
    <n v="0.9375"/>
    <n v="0"/>
    <n v="1.5"/>
    <n v="2.64"/>
    <n v="4"/>
    <n v="3.4760869565217298"/>
  </r>
  <r>
    <s v="T0165"/>
    <x v="5"/>
    <d v="2025-02-26T00:00:00"/>
    <s v="Wednesday"/>
    <d v="1899-12-30T11:15:00"/>
    <x v="2"/>
    <n v="50"/>
    <n v="45"/>
    <n v="12.5"/>
    <n v="22"/>
    <s v="Central"/>
    <n v="0"/>
    <x v="0"/>
    <n v="29"/>
    <n v="27"/>
    <n v="1.7"/>
    <n v="0"/>
    <n v="11"/>
    <n v="2"/>
    <n v="2"/>
    <x v="1"/>
    <x v="0"/>
    <n v="0"/>
    <n v="0.93103448275862"/>
    <n v="0"/>
    <n v="2.2727272727272698"/>
    <n v="4"/>
    <n v="5"/>
    <n v="3.4760869565217298"/>
  </r>
  <r>
    <s v="T0106"/>
    <x v="3"/>
    <d v="2025-01-17T00:00:00"/>
    <s v="Friday"/>
    <d v="1899-12-30T14:30:00"/>
    <x v="5"/>
    <n v="36"/>
    <n v="33"/>
    <n v="8.1999999999999993"/>
    <n v="15"/>
    <s v="Central"/>
    <n v="0"/>
    <x v="0"/>
    <n v="18"/>
    <n v="17"/>
    <n v="0.6"/>
    <n v="0"/>
    <n v="14"/>
    <n v="1"/>
    <n v="4"/>
    <x v="1"/>
    <x v="0"/>
    <n v="0"/>
    <n v="0.94444444444444398"/>
    <n v="0"/>
    <n v="2.4"/>
    <n v="4.3902439024390203"/>
    <n v="3"/>
    <n v="3.6937500000000001"/>
  </r>
  <r>
    <s v="T0242"/>
    <x v="7"/>
    <d v="2025-02-28T00:00:00"/>
    <s v="Friday"/>
    <d v="1899-12-30T18:00:00"/>
    <x v="2"/>
    <n v="70"/>
    <n v="63"/>
    <n v="11.6"/>
    <n v="21"/>
    <s v="West"/>
    <n v="0"/>
    <x v="0"/>
    <n v="27"/>
    <n v="27"/>
    <n v="1.4"/>
    <n v="0"/>
    <n v="18"/>
    <n v="2"/>
    <n v="4"/>
    <x v="1"/>
    <x v="1"/>
    <n v="0"/>
    <n v="1"/>
    <n v="0"/>
    <n v="3.3333333333333299"/>
    <n v="6.0344827586206797"/>
    <n v="7"/>
    <n v="2.80217391304347"/>
  </r>
  <r>
    <s v="T0442"/>
    <x v="7"/>
    <d v="2025-02-11T00:00:00"/>
    <s v="Tuesday"/>
    <d v="1899-12-30T13:45:00"/>
    <x v="18"/>
    <n v="62"/>
    <n v="55"/>
    <n v="11.6"/>
    <n v="21"/>
    <s v="West"/>
    <n v="0"/>
    <x v="0"/>
    <n v="18"/>
    <n v="17"/>
    <n v="2.9"/>
    <n v="0"/>
    <n v="13"/>
    <n v="2"/>
    <n v="1"/>
    <x v="1"/>
    <x v="0"/>
    <n v="0"/>
    <n v="0.94444444444444398"/>
    <n v="0"/>
    <n v="2.9523809523809499"/>
    <n v="5.3448275862068897"/>
    <n v="7"/>
    <n v="2.80217391304347"/>
  </r>
  <r>
    <s v="T0254"/>
    <x v="9"/>
    <d v="2025-01-18T00:00:00"/>
    <s v="Saturday"/>
    <d v="1899-12-30T16:15:00"/>
    <x v="17"/>
    <n v="66"/>
    <n v="61"/>
    <n v="15"/>
    <n v="28"/>
    <s v="North"/>
    <n v="0"/>
    <x v="3"/>
    <n v="30"/>
    <n v="28"/>
    <n v="9.1"/>
    <n v="0"/>
    <n v="16"/>
    <n v="1"/>
    <n v="5"/>
    <x v="0"/>
    <x v="0"/>
    <n v="1"/>
    <n v="0.93333333333333302"/>
    <n v="1"/>
    <n v="2.3571428571428501"/>
    <n v="4.4000000000000004"/>
    <n v="5"/>
    <n v="9.4749999999999996"/>
  </r>
  <r>
    <s v="T0263"/>
    <x v="5"/>
    <d v="2025-01-28T00:00:00"/>
    <s v="Tuesday"/>
    <d v="1899-12-30T15:45:00"/>
    <x v="1"/>
    <n v="54"/>
    <n v="52"/>
    <n v="12.5"/>
    <n v="22"/>
    <s v="Central"/>
    <n v="0"/>
    <x v="0"/>
    <n v="29"/>
    <n v="27"/>
    <n v="4.8"/>
    <n v="0"/>
    <n v="15"/>
    <n v="1"/>
    <n v="1"/>
    <x v="1"/>
    <x v="0"/>
    <n v="0"/>
    <n v="0.93103448275862"/>
    <n v="0"/>
    <n v="2.4545454545454501"/>
    <n v="4.32"/>
    <n v="2"/>
    <n v="3.4760869565217298"/>
  </r>
  <r>
    <s v="T0400"/>
    <x v="1"/>
    <d v="2025-02-07T00:00:00"/>
    <s v="Friday"/>
    <d v="1899-12-30T16:00:00"/>
    <x v="5"/>
    <n v="44"/>
    <n v="42"/>
    <n v="9.5"/>
    <n v="17"/>
    <s v="North"/>
    <n v="0"/>
    <x v="0"/>
    <n v="19"/>
    <n v="18"/>
    <n v="2.4"/>
    <n v="0"/>
    <n v="16"/>
    <n v="2"/>
    <n v="4"/>
    <x v="1"/>
    <x v="0"/>
    <n v="0"/>
    <n v="0.94736842105263097"/>
    <n v="0"/>
    <n v="2.5882352941176401"/>
    <n v="4.6315789473684204"/>
    <n v="2"/>
    <n v="3.8470588235294101"/>
  </r>
  <r>
    <s v="T0404"/>
    <x v="4"/>
    <d v="2025-01-31T00:00:00"/>
    <s v="Friday"/>
    <d v="1899-12-30T09:00:00"/>
    <x v="5"/>
    <n v="107"/>
    <n v="101"/>
    <n v="14.2"/>
    <n v="25"/>
    <s v="East"/>
    <n v="0"/>
    <x v="0"/>
    <n v="33"/>
    <n v="30"/>
    <n v="4.5"/>
    <n v="0"/>
    <n v="9"/>
    <n v="1"/>
    <n v="4"/>
    <x v="1"/>
    <x v="2"/>
    <n v="0"/>
    <n v="0.90909090909090895"/>
    <n v="0"/>
    <n v="4.28"/>
    <n v="7.5352112676056304"/>
    <n v="6"/>
    <n v="8.3255319148936096"/>
  </r>
  <r>
    <s v="T0083"/>
    <x v="9"/>
    <d v="2025-02-01T00:00:00"/>
    <s v="Saturday"/>
    <d v="1899-12-30T09:30:00"/>
    <x v="18"/>
    <n v="71"/>
    <n v="64"/>
    <n v="15"/>
    <n v="28"/>
    <s v="North"/>
    <n v="0"/>
    <x v="0"/>
    <n v="20"/>
    <n v="17"/>
    <n v="10.4"/>
    <n v="0"/>
    <n v="9"/>
    <n v="2"/>
    <n v="5"/>
    <x v="0"/>
    <x v="2"/>
    <n v="0"/>
    <n v="0.85"/>
    <n v="1"/>
    <n v="2.5357142857142798"/>
    <n v="4.7333333333333298"/>
    <n v="7"/>
    <n v="9.4749999999999996"/>
  </r>
  <r>
    <s v="T0437"/>
    <x v="5"/>
    <d v="2025-01-14T00:00:00"/>
    <s v="Tuesday"/>
    <d v="1899-12-30T10:15:00"/>
    <x v="3"/>
    <n v="51"/>
    <n v="43"/>
    <n v="12.5"/>
    <n v="22"/>
    <s v="Central"/>
    <n v="1"/>
    <x v="0"/>
    <n v="20"/>
    <n v="19"/>
    <n v="2"/>
    <n v="0"/>
    <n v="10"/>
    <n v="1"/>
    <n v="1"/>
    <x v="1"/>
    <x v="0"/>
    <n v="0"/>
    <n v="0.95"/>
    <n v="0"/>
    <n v="2.3181818181818099"/>
    <n v="4.08"/>
    <n v="8"/>
    <n v="3.4760869565217298"/>
  </r>
  <r>
    <s v="T0072"/>
    <x v="3"/>
    <d v="2025-01-14T00:00:00"/>
    <s v="Tuesday"/>
    <d v="1899-12-30T08:45:00"/>
    <x v="8"/>
    <n v="71"/>
    <n v="64"/>
    <n v="8.1999999999999993"/>
    <n v="15"/>
    <s v="Central"/>
    <n v="1"/>
    <x v="0"/>
    <n v="29"/>
    <n v="28"/>
    <n v="1.9"/>
    <n v="0"/>
    <n v="8"/>
    <n v="1"/>
    <n v="1"/>
    <x v="1"/>
    <x v="2"/>
    <n v="0"/>
    <n v="0.96551724137931005"/>
    <n v="0"/>
    <n v="4.7333333333333298"/>
    <n v="8.6585365853658498"/>
    <n v="7"/>
    <n v="3.6937500000000001"/>
  </r>
  <r>
    <s v="T0088"/>
    <x v="0"/>
    <d v="2025-02-08T00:00:00"/>
    <s v="Saturday"/>
    <d v="1899-12-30T13:45:00"/>
    <x v="3"/>
    <n v="56"/>
    <n v="53"/>
    <n v="10.1"/>
    <n v="19"/>
    <s v="West"/>
    <n v="0"/>
    <x v="1"/>
    <n v="36"/>
    <n v="35"/>
    <n v="3.2"/>
    <n v="0"/>
    <n v="13"/>
    <n v="2"/>
    <n v="5"/>
    <x v="0"/>
    <x v="0"/>
    <n v="1"/>
    <n v="0.97222222222222199"/>
    <n v="0"/>
    <n v="2.9473684210526301"/>
    <n v="5.5445544554455397"/>
    <n v="3"/>
    <n v="3.6613636363636299"/>
  </r>
  <r>
    <s v="T0065"/>
    <x v="9"/>
    <d v="2025-02-22T00:00:00"/>
    <s v="Saturday"/>
    <d v="1899-12-30T19:30:00"/>
    <x v="5"/>
    <n v="89"/>
    <n v="89"/>
    <n v="15"/>
    <n v="28"/>
    <s v="North"/>
    <n v="0"/>
    <x v="2"/>
    <n v="28"/>
    <n v="26"/>
    <n v="9.6"/>
    <n v="0"/>
    <n v="19"/>
    <n v="2"/>
    <n v="5"/>
    <x v="0"/>
    <x v="1"/>
    <n v="1"/>
    <n v="0.92857142857142805"/>
    <n v="1"/>
    <n v="3.1785714285714199"/>
    <n v="5.93333333333333"/>
    <n v="0"/>
    <n v="9.4749999999999996"/>
  </r>
  <r>
    <s v="T0271"/>
    <x v="4"/>
    <d v="2025-02-13T00:00:00"/>
    <s v="Thursday"/>
    <d v="1899-12-30T11:30:00"/>
    <x v="19"/>
    <n v="43"/>
    <n v="42"/>
    <n v="14.2"/>
    <n v="25"/>
    <s v="East"/>
    <n v="0"/>
    <x v="0"/>
    <n v="27"/>
    <n v="24"/>
    <n v="6.7"/>
    <n v="0"/>
    <n v="11"/>
    <n v="2"/>
    <n v="3"/>
    <x v="1"/>
    <x v="0"/>
    <n v="0"/>
    <n v="0.88888888888888795"/>
    <n v="1"/>
    <n v="1.72"/>
    <n v="3.0281690140844999"/>
    <n v="1"/>
    <n v="8.3255319148936096"/>
  </r>
  <r>
    <s v="T0094"/>
    <x v="2"/>
    <d v="2025-01-03T00:00:00"/>
    <s v="Friday"/>
    <d v="1899-12-30T16:15:00"/>
    <x v="20"/>
    <n v="47"/>
    <n v="44"/>
    <n v="18.399999999999999"/>
    <n v="32"/>
    <s v="East"/>
    <n v="0"/>
    <x v="0"/>
    <n v="34"/>
    <n v="32"/>
    <n v="7.2"/>
    <n v="0"/>
    <n v="16"/>
    <n v="1"/>
    <n v="4"/>
    <x v="1"/>
    <x v="0"/>
    <n v="0"/>
    <n v="0.94117647058823495"/>
    <n v="1"/>
    <n v="1.46875"/>
    <n v="2.5543478260869499"/>
    <n v="3"/>
    <n v="8.6013888888888896"/>
  </r>
  <r>
    <s v="T0311"/>
    <x v="6"/>
    <d v="2025-01-21T00:00:00"/>
    <s v="Tuesday"/>
    <d v="1899-12-30T07:45:00"/>
    <x v="1"/>
    <n v="57"/>
    <n v="50"/>
    <n v="6.8"/>
    <n v="12"/>
    <s v="South"/>
    <n v="0"/>
    <x v="0"/>
    <n v="38"/>
    <n v="35"/>
    <n v="3"/>
    <n v="0"/>
    <n v="7"/>
    <n v="1"/>
    <n v="1"/>
    <x v="1"/>
    <x v="2"/>
    <n v="0"/>
    <n v="0.92105263157894701"/>
    <n v="0"/>
    <n v="4.75"/>
    <n v="8.3823529411764692"/>
    <n v="7"/>
    <n v="2.7611111111111102"/>
  </r>
  <r>
    <s v="T0275"/>
    <x v="2"/>
    <d v="2025-01-20T00:00:00"/>
    <s v="Monday"/>
    <d v="1899-12-30T16:45:00"/>
    <x v="18"/>
    <n v="58"/>
    <n v="52"/>
    <n v="18.399999999999999"/>
    <n v="32"/>
    <s v="East"/>
    <n v="0"/>
    <x v="0"/>
    <n v="21"/>
    <n v="18"/>
    <n v="8.8000000000000007"/>
    <n v="1"/>
    <n v="16"/>
    <n v="1"/>
    <n v="0"/>
    <x v="1"/>
    <x v="0"/>
    <n v="0"/>
    <n v="0.85714285714285698"/>
    <n v="1"/>
    <n v="1.8125"/>
    <n v="3.1521739130434701"/>
    <n v="6"/>
    <n v="8.6013888888888896"/>
  </r>
  <r>
    <s v="T0498"/>
    <x v="5"/>
    <d v="2025-01-10T00:00:00"/>
    <s v="Friday"/>
    <d v="1899-12-30T13:30:00"/>
    <x v="20"/>
    <n v="47"/>
    <n v="46"/>
    <n v="12.5"/>
    <n v="22"/>
    <s v="Central"/>
    <n v="0"/>
    <x v="0"/>
    <n v="22"/>
    <n v="22"/>
    <n v="4.5"/>
    <n v="0"/>
    <n v="13"/>
    <n v="1"/>
    <n v="4"/>
    <x v="1"/>
    <x v="0"/>
    <n v="0"/>
    <n v="1"/>
    <n v="0"/>
    <n v="2.13636363636363"/>
    <n v="3.76"/>
    <n v="1"/>
    <n v="3.4760869565217298"/>
  </r>
  <r>
    <s v="T0395"/>
    <x v="9"/>
    <d v="2025-01-17T00:00:00"/>
    <s v="Friday"/>
    <d v="1899-12-30T17:45:00"/>
    <x v="0"/>
    <n v="112"/>
    <n v="103"/>
    <n v="15"/>
    <n v="28"/>
    <s v="North"/>
    <n v="0"/>
    <x v="0"/>
    <n v="26"/>
    <n v="23"/>
    <n v="19.899999999999999"/>
    <n v="0"/>
    <n v="17"/>
    <n v="1"/>
    <n v="4"/>
    <x v="1"/>
    <x v="1"/>
    <n v="0"/>
    <n v="0.88461538461538403"/>
    <n v="1"/>
    <n v="4"/>
    <n v="7.4666666666666597"/>
    <n v="9"/>
    <n v="9.4749999999999996"/>
  </r>
  <r>
    <s v="T0321"/>
    <x v="2"/>
    <d v="2025-01-24T00:00:00"/>
    <s v="Friday"/>
    <d v="1899-12-30T16:00:00"/>
    <x v="13"/>
    <n v="60"/>
    <n v="59"/>
    <n v="18.399999999999999"/>
    <n v="32"/>
    <s v="East"/>
    <n v="0"/>
    <x v="0"/>
    <n v="18"/>
    <n v="15"/>
    <n v="6.8"/>
    <n v="0"/>
    <n v="16"/>
    <n v="1"/>
    <n v="4"/>
    <x v="1"/>
    <x v="0"/>
    <n v="0"/>
    <n v="0.83333333333333304"/>
    <n v="1"/>
    <n v="1.875"/>
    <n v="3.2608695652173898"/>
    <n v="1"/>
    <n v="8.6013888888888896"/>
  </r>
  <r>
    <s v="T0415"/>
    <x v="0"/>
    <d v="2025-02-03T00:00:00"/>
    <s v="Monday"/>
    <d v="1899-12-30T11:45:00"/>
    <x v="7"/>
    <n v="40"/>
    <n v="37"/>
    <n v="10.1"/>
    <n v="19"/>
    <s v="West"/>
    <n v="0"/>
    <x v="0"/>
    <n v="22"/>
    <n v="20"/>
    <n v="2.4"/>
    <n v="0"/>
    <n v="11"/>
    <n v="2"/>
    <n v="0"/>
    <x v="1"/>
    <x v="0"/>
    <n v="0"/>
    <n v="0.90909090909090895"/>
    <n v="0"/>
    <n v="2.1052631578947301"/>
    <n v="3.9603960396039599"/>
    <n v="3"/>
    <n v="3.6613636363636299"/>
  </r>
  <r>
    <s v="T0154"/>
    <x v="2"/>
    <d v="2025-02-03T00:00:00"/>
    <s v="Monday"/>
    <d v="1899-12-30T15:00:00"/>
    <x v="7"/>
    <n v="56"/>
    <n v="52"/>
    <n v="18.399999999999999"/>
    <n v="32"/>
    <s v="East"/>
    <n v="0"/>
    <x v="0"/>
    <n v="38"/>
    <n v="35"/>
    <n v="3.8"/>
    <n v="0"/>
    <n v="15"/>
    <n v="2"/>
    <n v="0"/>
    <x v="1"/>
    <x v="0"/>
    <n v="0"/>
    <n v="0.92105263157894701"/>
    <n v="0"/>
    <n v="1.75"/>
    <n v="3.0434782608695601"/>
    <n v="4"/>
    <n v="8.6013888888888896"/>
  </r>
  <r>
    <s v="T0102"/>
    <x v="0"/>
    <d v="2025-01-30T00:00:00"/>
    <s v="Thursday"/>
    <d v="1899-12-30T07:30:00"/>
    <x v="13"/>
    <n v="70"/>
    <n v="64"/>
    <n v="10.1"/>
    <n v="19"/>
    <s v="West"/>
    <n v="0"/>
    <x v="0"/>
    <n v="25"/>
    <n v="23"/>
    <n v="6.4"/>
    <n v="0"/>
    <n v="7"/>
    <n v="1"/>
    <n v="3"/>
    <x v="1"/>
    <x v="2"/>
    <n v="0"/>
    <n v="0.92"/>
    <n v="1"/>
    <n v="3.6842105263157801"/>
    <n v="6.9306930693069297"/>
    <n v="6"/>
    <n v="3.6613636363636299"/>
  </r>
  <r>
    <s v="T0342"/>
    <x v="2"/>
    <d v="2025-02-18T00:00:00"/>
    <s v="Tuesday"/>
    <d v="1899-12-30T22:15:00"/>
    <x v="9"/>
    <n v="59"/>
    <n v="52"/>
    <n v="18.399999999999999"/>
    <n v="32"/>
    <s v="East"/>
    <n v="0"/>
    <x v="0"/>
    <n v="30"/>
    <n v="27"/>
    <n v="11.2"/>
    <n v="0"/>
    <n v="22"/>
    <n v="2"/>
    <n v="1"/>
    <x v="1"/>
    <x v="0"/>
    <n v="0"/>
    <n v="0.9"/>
    <n v="1"/>
    <n v="1.84375"/>
    <n v="3.2065217391304301"/>
    <n v="7"/>
    <n v="8.6013888888888896"/>
  </r>
  <r>
    <s v="T0006"/>
    <x v="5"/>
    <d v="2025-01-20T00:00:00"/>
    <s v="Monday"/>
    <d v="1899-12-30T15:00:00"/>
    <x v="18"/>
    <n v="53"/>
    <n v="51"/>
    <n v="12.5"/>
    <n v="22"/>
    <s v="Central"/>
    <n v="0"/>
    <x v="0"/>
    <n v="35"/>
    <n v="33"/>
    <n v="2.1"/>
    <n v="0"/>
    <n v="15"/>
    <n v="1"/>
    <n v="0"/>
    <x v="1"/>
    <x v="0"/>
    <n v="0"/>
    <n v="0.94285714285714195"/>
    <n v="0"/>
    <n v="2.4090909090908998"/>
    <n v="4.24"/>
    <n v="2"/>
    <n v="3.4760869565217298"/>
  </r>
  <r>
    <s v="T0045"/>
    <x v="3"/>
    <d v="2025-01-13T00:00:00"/>
    <s v="Monday"/>
    <d v="1899-12-30T08:15:00"/>
    <x v="7"/>
    <n v="58"/>
    <n v="57"/>
    <n v="8.1999999999999993"/>
    <n v="15"/>
    <s v="Central"/>
    <n v="0"/>
    <x v="0"/>
    <n v="29"/>
    <n v="27"/>
    <n v="1.2"/>
    <n v="0"/>
    <n v="8"/>
    <n v="1"/>
    <n v="0"/>
    <x v="1"/>
    <x v="2"/>
    <n v="0"/>
    <n v="0.93103448275862"/>
    <n v="0"/>
    <n v="3.86666666666666"/>
    <n v="7.07317073170731"/>
    <n v="1"/>
    <n v="3.6937500000000001"/>
  </r>
  <r>
    <s v="T0114"/>
    <x v="4"/>
    <d v="2025-01-02T00:00:00"/>
    <s v="Thursday"/>
    <d v="1899-12-30T08:30:00"/>
    <x v="5"/>
    <n v="117"/>
    <n v="103"/>
    <n v="14.2"/>
    <n v="25"/>
    <s v="East"/>
    <n v="0"/>
    <x v="0"/>
    <n v="29"/>
    <n v="24"/>
    <n v="14.8"/>
    <n v="0"/>
    <n v="8"/>
    <n v="1"/>
    <n v="3"/>
    <x v="1"/>
    <x v="2"/>
    <n v="0"/>
    <n v="0.82758620689655105"/>
    <n v="1"/>
    <n v="4.68"/>
    <n v="8.23943661971831"/>
    <n v="14"/>
    <n v="8.3255319148936096"/>
  </r>
  <r>
    <s v="T0221"/>
    <x v="0"/>
    <d v="2025-01-26T00:00:00"/>
    <s v="Sunday"/>
    <d v="1899-12-30T13:30:00"/>
    <x v="16"/>
    <n v="30"/>
    <n v="26"/>
    <n v="10.1"/>
    <n v="19"/>
    <s v="West"/>
    <n v="1"/>
    <x v="0"/>
    <n v="24"/>
    <n v="24"/>
    <n v="3.3"/>
    <n v="1"/>
    <n v="13"/>
    <n v="1"/>
    <n v="6"/>
    <x v="0"/>
    <x v="0"/>
    <n v="0"/>
    <n v="1"/>
    <n v="0"/>
    <n v="1.57894736842105"/>
    <n v="2.9702970297029698"/>
    <n v="4"/>
    <n v="3.6613636363636299"/>
  </r>
  <r>
    <s v="T0141"/>
    <x v="7"/>
    <d v="2025-01-17T00:00:00"/>
    <s v="Friday"/>
    <d v="1899-12-30T09:00:00"/>
    <x v="11"/>
    <n v="77"/>
    <n v="75"/>
    <n v="11.6"/>
    <n v="21"/>
    <s v="West"/>
    <n v="0"/>
    <x v="0"/>
    <n v="37"/>
    <n v="37"/>
    <n v="3.1"/>
    <n v="0"/>
    <n v="9"/>
    <n v="1"/>
    <n v="4"/>
    <x v="1"/>
    <x v="2"/>
    <n v="0"/>
    <n v="1"/>
    <n v="0"/>
    <n v="3.6666666666666599"/>
    <n v="6.63793103448275"/>
    <n v="2"/>
    <n v="2.80217391304347"/>
  </r>
  <r>
    <s v="T0211"/>
    <x v="2"/>
    <d v="2025-02-26T00:00:00"/>
    <s v="Wednesday"/>
    <d v="1899-12-30T17:15:00"/>
    <x v="15"/>
    <n v="68"/>
    <n v="66"/>
    <n v="18.399999999999999"/>
    <n v="32"/>
    <s v="East"/>
    <n v="0"/>
    <x v="0"/>
    <n v="38"/>
    <n v="32"/>
    <n v="14.9"/>
    <n v="0"/>
    <n v="17"/>
    <n v="2"/>
    <n v="2"/>
    <x v="1"/>
    <x v="1"/>
    <n v="0"/>
    <n v="0.84210526315789402"/>
    <n v="1"/>
    <n v="2.125"/>
    <n v="3.6956521739130399"/>
    <n v="2"/>
    <n v="8.6013888888888896"/>
  </r>
  <r>
    <s v="T0134"/>
    <x v="9"/>
    <d v="2025-01-24T00:00:00"/>
    <s v="Friday"/>
    <d v="1899-12-30T17:00:00"/>
    <x v="11"/>
    <n v="80"/>
    <n v="75"/>
    <n v="15"/>
    <n v="28"/>
    <s v="North"/>
    <n v="0"/>
    <x v="0"/>
    <n v="37"/>
    <n v="33"/>
    <n v="5.0999999999999996"/>
    <n v="0"/>
    <n v="17"/>
    <n v="1"/>
    <n v="4"/>
    <x v="1"/>
    <x v="1"/>
    <n v="0"/>
    <n v="0.891891891891891"/>
    <n v="1"/>
    <n v="2.8571428571428501"/>
    <n v="5.3333333333333304"/>
    <n v="5"/>
    <n v="9.4749999999999996"/>
  </r>
  <r>
    <s v="T0262"/>
    <x v="7"/>
    <d v="2025-02-06T00:00:00"/>
    <s v="Thursday"/>
    <d v="1899-12-30T14:30:00"/>
    <x v="3"/>
    <n v="35"/>
    <n v="33"/>
    <n v="11.6"/>
    <n v="21"/>
    <s v="West"/>
    <n v="0"/>
    <x v="0"/>
    <n v="32"/>
    <n v="31"/>
    <n v="1.7"/>
    <n v="0"/>
    <n v="14"/>
    <n v="2"/>
    <n v="3"/>
    <x v="1"/>
    <x v="0"/>
    <n v="0"/>
    <n v="0.96875"/>
    <n v="0"/>
    <n v="1.6666666666666601"/>
    <n v="3.0172413793103399"/>
    <n v="2"/>
    <n v="2.80217391304347"/>
  </r>
  <r>
    <s v="T0279"/>
    <x v="1"/>
    <d v="2025-01-03T00:00:00"/>
    <s v="Friday"/>
    <d v="1899-12-30T18:45:00"/>
    <x v="4"/>
    <n v="78"/>
    <n v="69"/>
    <n v="9.5"/>
    <n v="17"/>
    <s v="North"/>
    <n v="0"/>
    <x v="0"/>
    <n v="34"/>
    <n v="34"/>
    <n v="5.2"/>
    <n v="0"/>
    <n v="18"/>
    <n v="1"/>
    <n v="4"/>
    <x v="1"/>
    <x v="1"/>
    <n v="0"/>
    <n v="1"/>
    <n v="1"/>
    <n v="4.5882352941176396"/>
    <n v="8.2105263157894708"/>
    <n v="9"/>
    <n v="3.8470588235294101"/>
  </r>
  <r>
    <s v="T0080"/>
    <x v="5"/>
    <d v="2025-01-01T00:00:00"/>
    <s v="Wednesday"/>
    <d v="1899-12-30T14:15:00"/>
    <x v="5"/>
    <n v="50"/>
    <n v="44"/>
    <n v="12.5"/>
    <n v="22"/>
    <s v="Central"/>
    <n v="1"/>
    <x v="0"/>
    <n v="39"/>
    <n v="38"/>
    <n v="1.6"/>
    <n v="0"/>
    <n v="14"/>
    <n v="1"/>
    <n v="2"/>
    <x v="1"/>
    <x v="0"/>
    <n v="0"/>
    <n v="0.97435897435897401"/>
    <n v="0"/>
    <n v="2.2727272727272698"/>
    <n v="4"/>
    <n v="6"/>
    <n v="3.4760869565217298"/>
  </r>
  <r>
    <s v="T0488"/>
    <x v="9"/>
    <d v="2025-02-07T00:00:00"/>
    <s v="Friday"/>
    <d v="1899-12-30T08:15:00"/>
    <x v="13"/>
    <n v="88"/>
    <n v="80"/>
    <n v="15"/>
    <n v="28"/>
    <s v="North"/>
    <n v="0"/>
    <x v="0"/>
    <n v="23"/>
    <n v="19"/>
    <n v="6.8"/>
    <n v="0"/>
    <n v="8"/>
    <n v="2"/>
    <n v="4"/>
    <x v="1"/>
    <x v="2"/>
    <n v="0"/>
    <n v="0.82608695652173902"/>
    <n v="1"/>
    <n v="3.1428571428571401"/>
    <n v="5.86666666666666"/>
    <n v="8"/>
    <n v="9.4749999999999996"/>
  </r>
  <r>
    <s v="T0116"/>
    <x v="8"/>
    <d v="2025-02-20T00:00:00"/>
    <s v="Thursday"/>
    <d v="1899-12-30T15:45:00"/>
    <x v="11"/>
    <n v="38"/>
    <n v="32"/>
    <n v="7.3"/>
    <n v="13"/>
    <s v="South"/>
    <n v="0"/>
    <x v="0"/>
    <n v="19"/>
    <n v="19"/>
    <n v="2.1"/>
    <n v="0"/>
    <n v="15"/>
    <n v="2"/>
    <n v="3"/>
    <x v="1"/>
    <x v="0"/>
    <n v="0"/>
    <n v="1"/>
    <n v="0"/>
    <n v="2.9230769230769198"/>
    <n v="5.2054794520547896"/>
    <n v="6"/>
    <n v="4.0518518518518496"/>
  </r>
  <r>
    <s v="T0350"/>
    <x v="0"/>
    <d v="2025-01-11T00:00:00"/>
    <s v="Saturday"/>
    <d v="1899-12-30T12:45:00"/>
    <x v="18"/>
    <n v="47"/>
    <n v="44"/>
    <n v="10.1"/>
    <n v="19"/>
    <s v="West"/>
    <n v="0"/>
    <x v="1"/>
    <n v="27"/>
    <n v="26"/>
    <n v="3.4"/>
    <n v="0"/>
    <n v="12"/>
    <n v="1"/>
    <n v="5"/>
    <x v="0"/>
    <x v="0"/>
    <n v="1"/>
    <n v="0.96296296296296202"/>
    <n v="0"/>
    <n v="2.4736842105263102"/>
    <n v="4.6534653465346496"/>
    <n v="3"/>
    <n v="3.6613636363636299"/>
  </r>
  <r>
    <s v="T0365"/>
    <x v="7"/>
    <d v="2025-02-18T00:00:00"/>
    <s v="Tuesday"/>
    <d v="1899-12-30T14:15:00"/>
    <x v="22"/>
    <n v="46"/>
    <n v="43"/>
    <n v="11.6"/>
    <n v="21"/>
    <s v="West"/>
    <n v="0"/>
    <x v="0"/>
    <n v="30"/>
    <n v="28"/>
    <n v="5.4"/>
    <n v="0"/>
    <n v="14"/>
    <n v="2"/>
    <n v="1"/>
    <x v="1"/>
    <x v="0"/>
    <n v="0"/>
    <n v="0.93333333333333302"/>
    <n v="1"/>
    <n v="2.1904761904761898"/>
    <n v="3.9655172413793101"/>
    <n v="3"/>
    <n v="2.80217391304347"/>
  </r>
  <r>
    <s v="T0207"/>
    <x v="5"/>
    <d v="2025-02-14T00:00:00"/>
    <s v="Friday"/>
    <d v="1899-12-30T08:15:00"/>
    <x v="18"/>
    <n v="98"/>
    <n v="84"/>
    <n v="12.5"/>
    <n v="22"/>
    <s v="Central"/>
    <n v="0"/>
    <x v="0"/>
    <n v="27"/>
    <n v="26"/>
    <n v="4.0999999999999996"/>
    <n v="0"/>
    <n v="8"/>
    <n v="2"/>
    <n v="4"/>
    <x v="1"/>
    <x v="2"/>
    <n v="0"/>
    <n v="0.96296296296296202"/>
    <n v="0"/>
    <n v="4.4545454545454497"/>
    <n v="7.84"/>
    <n v="14"/>
    <n v="3.4760869565217298"/>
  </r>
  <r>
    <s v="T0185"/>
    <x v="3"/>
    <d v="2025-02-19T00:00:00"/>
    <s v="Wednesday"/>
    <d v="1899-12-30T13:15:00"/>
    <x v="0"/>
    <n v="46"/>
    <n v="45"/>
    <n v="8.1999999999999993"/>
    <n v="15"/>
    <s v="Central"/>
    <n v="0"/>
    <x v="0"/>
    <n v="32"/>
    <n v="30"/>
    <n v="4.8"/>
    <n v="0"/>
    <n v="13"/>
    <n v="2"/>
    <n v="2"/>
    <x v="1"/>
    <x v="0"/>
    <n v="0"/>
    <n v="0.9375"/>
    <n v="0"/>
    <n v="3.0666666666666602"/>
    <n v="5.6097560975609699"/>
    <n v="1"/>
    <n v="3.6937500000000001"/>
  </r>
  <r>
    <s v="T0328"/>
    <x v="2"/>
    <d v="2025-02-09T00:00:00"/>
    <s v="Sunday"/>
    <d v="1899-12-30T06:30:00"/>
    <x v="3"/>
    <n v="46"/>
    <n v="39"/>
    <n v="18.399999999999999"/>
    <n v="32"/>
    <s v="East"/>
    <n v="0"/>
    <x v="0"/>
    <n v="18"/>
    <n v="16"/>
    <n v="7.5"/>
    <n v="0"/>
    <n v="6"/>
    <n v="2"/>
    <n v="6"/>
    <x v="0"/>
    <x v="0"/>
    <n v="0"/>
    <n v="0.88888888888888795"/>
    <n v="1"/>
    <n v="1.4375"/>
    <n v="2.5"/>
    <n v="7"/>
    <n v="8.6013888888888896"/>
  </r>
  <r>
    <s v="T0484"/>
    <x v="0"/>
    <d v="2025-02-08T00:00:00"/>
    <s v="Saturday"/>
    <d v="1899-12-30T13:45:00"/>
    <x v="3"/>
    <n v="52"/>
    <n v="46"/>
    <n v="10.1"/>
    <n v="19"/>
    <s v="West"/>
    <n v="0"/>
    <x v="1"/>
    <n v="36"/>
    <n v="35"/>
    <n v="3.2"/>
    <n v="0"/>
    <n v="13"/>
    <n v="2"/>
    <n v="5"/>
    <x v="0"/>
    <x v="0"/>
    <n v="1"/>
    <n v="0.97222222222222199"/>
    <n v="0"/>
    <n v="2.73684210526315"/>
    <n v="5.1485148514851398"/>
    <n v="6"/>
    <n v="3.6613636363636299"/>
  </r>
  <r>
    <s v="T0441"/>
    <x v="5"/>
    <d v="2025-02-14T00:00:00"/>
    <s v="Friday"/>
    <d v="1899-12-30T07:30:00"/>
    <x v="3"/>
    <n v="71"/>
    <n v="65"/>
    <n v="12.5"/>
    <n v="22"/>
    <s v="Central"/>
    <n v="0"/>
    <x v="0"/>
    <n v="27"/>
    <n v="26"/>
    <n v="4.0999999999999996"/>
    <n v="0"/>
    <n v="7"/>
    <n v="2"/>
    <n v="4"/>
    <x v="1"/>
    <x v="2"/>
    <n v="0"/>
    <n v="0.96296296296296202"/>
    <n v="0"/>
    <n v="3.22727272727272"/>
    <n v="5.68"/>
    <n v="6"/>
    <n v="3.4760869565217298"/>
  </r>
  <r>
    <s v="T0243"/>
    <x v="7"/>
    <d v="2025-02-25T00:00:00"/>
    <s v="Tuesday"/>
    <d v="1899-12-30T15:30:00"/>
    <x v="1"/>
    <n v="42"/>
    <n v="42"/>
    <n v="11.6"/>
    <n v="21"/>
    <s v="West"/>
    <n v="0"/>
    <x v="0"/>
    <n v="37"/>
    <n v="37"/>
    <n v="2.8"/>
    <n v="0"/>
    <n v="15"/>
    <n v="2"/>
    <n v="1"/>
    <x v="1"/>
    <x v="0"/>
    <n v="0"/>
    <n v="1"/>
    <n v="0"/>
    <n v="2"/>
    <n v="3.6206896551724101"/>
    <n v="0"/>
    <n v="2.80217391304347"/>
  </r>
  <r>
    <s v="T0447"/>
    <x v="7"/>
    <d v="2025-02-08T00:00:00"/>
    <s v="Saturday"/>
    <d v="1899-12-30T17:45:00"/>
    <x v="13"/>
    <n v="106"/>
    <n v="104"/>
    <n v="11.6"/>
    <n v="21"/>
    <s v="West"/>
    <n v="0"/>
    <x v="1"/>
    <n v="33"/>
    <n v="33"/>
    <n v="7.1"/>
    <n v="0"/>
    <n v="17"/>
    <n v="2"/>
    <n v="5"/>
    <x v="0"/>
    <x v="1"/>
    <n v="1"/>
    <n v="1"/>
    <n v="1"/>
    <n v="5.0476190476190403"/>
    <n v="9.1379310344827598"/>
    <n v="2"/>
    <n v="2.80217391304347"/>
  </r>
  <r>
    <s v="T0010"/>
    <x v="1"/>
    <d v="2025-01-29T00:00:00"/>
    <s v="Wednesday"/>
    <d v="1899-12-30T11:15:00"/>
    <x v="1"/>
    <n v="55"/>
    <n v="53"/>
    <n v="9.5"/>
    <n v="17"/>
    <s v="North"/>
    <n v="0"/>
    <x v="0"/>
    <n v="36"/>
    <n v="35"/>
    <n v="5.5"/>
    <n v="0"/>
    <n v="11"/>
    <n v="1"/>
    <n v="2"/>
    <x v="1"/>
    <x v="0"/>
    <n v="0"/>
    <n v="0.97222222222222199"/>
    <n v="1"/>
    <n v="3.23529411764705"/>
    <n v="5.7894736842105203"/>
    <n v="2"/>
    <n v="3.8470588235294101"/>
  </r>
  <r>
    <s v="T0490"/>
    <x v="8"/>
    <d v="2025-02-02T00:00:00"/>
    <s v="Sunday"/>
    <d v="1899-12-30T08:30:00"/>
    <x v="11"/>
    <n v="58"/>
    <n v="50"/>
    <n v="7.3"/>
    <n v="13"/>
    <s v="South"/>
    <n v="0"/>
    <x v="0"/>
    <n v="30"/>
    <n v="29"/>
    <n v="2"/>
    <n v="0"/>
    <n v="8"/>
    <n v="2"/>
    <n v="6"/>
    <x v="0"/>
    <x v="2"/>
    <n v="0"/>
    <n v="0.96666666666666601"/>
    <n v="0"/>
    <n v="4.4615384615384599"/>
    <n v="7.9452054794520501"/>
    <n v="8"/>
    <n v="4.0518518518518496"/>
  </r>
  <r>
    <s v="T0046"/>
    <x v="0"/>
    <d v="2025-02-02T00:00:00"/>
    <s v="Sunday"/>
    <d v="1899-12-30T17:15:00"/>
    <x v="2"/>
    <n v="58"/>
    <n v="55"/>
    <n v="10.1"/>
    <n v="19"/>
    <s v="West"/>
    <n v="0"/>
    <x v="0"/>
    <n v="23"/>
    <n v="22"/>
    <n v="2"/>
    <n v="0"/>
    <n v="17"/>
    <n v="2"/>
    <n v="6"/>
    <x v="0"/>
    <x v="1"/>
    <n v="0"/>
    <n v="0.95652173913043403"/>
    <n v="0"/>
    <n v="3.0526315789473601"/>
    <n v="5.7425742574257397"/>
    <n v="3"/>
    <n v="3.6613636363636299"/>
  </r>
  <r>
    <s v="T0359"/>
    <x v="7"/>
    <d v="2025-02-23T00:00:00"/>
    <s v="Sunday"/>
    <d v="1899-12-30T16:00:00"/>
    <x v="20"/>
    <n v="31"/>
    <n v="29"/>
    <n v="11.6"/>
    <n v="21"/>
    <s v="West"/>
    <n v="0"/>
    <x v="0"/>
    <n v="24"/>
    <n v="24"/>
    <n v="1.1000000000000001"/>
    <n v="0"/>
    <n v="16"/>
    <n v="2"/>
    <n v="6"/>
    <x v="0"/>
    <x v="0"/>
    <n v="0"/>
    <n v="1"/>
    <n v="0"/>
    <n v="1.4761904761904701"/>
    <n v="2.67241379310344"/>
    <n v="2"/>
    <n v="2.80217391304347"/>
  </r>
  <r>
    <s v="T0422"/>
    <x v="4"/>
    <d v="2025-03-01T00:00:00"/>
    <s v="Saturday"/>
    <d v="1899-12-30T07:00:00"/>
    <x v="13"/>
    <n v="61"/>
    <n v="59"/>
    <n v="14.2"/>
    <n v="25"/>
    <s v="East"/>
    <n v="0"/>
    <x v="0"/>
    <n v="25"/>
    <n v="20"/>
    <n v="13.4"/>
    <n v="0"/>
    <n v="7"/>
    <n v="3"/>
    <n v="5"/>
    <x v="0"/>
    <x v="2"/>
    <n v="0"/>
    <n v="0.8"/>
    <n v="1"/>
    <n v="2.44"/>
    <n v="4.2957746478873204"/>
    <n v="2"/>
    <n v="8.3255319148936096"/>
  </r>
  <r>
    <s v="T0032"/>
    <x v="3"/>
    <d v="2025-01-01T00:00:00"/>
    <s v="Wednesday"/>
    <d v="1899-12-30T17:45:00"/>
    <x v="1"/>
    <n v="75"/>
    <n v="70"/>
    <n v="8.1999999999999993"/>
    <n v="15"/>
    <s v="Central"/>
    <n v="1"/>
    <x v="0"/>
    <n v="30"/>
    <n v="29"/>
    <n v="13.6"/>
    <n v="0"/>
    <n v="17"/>
    <n v="1"/>
    <n v="2"/>
    <x v="1"/>
    <x v="1"/>
    <n v="0"/>
    <n v="0.96666666666666601"/>
    <n v="1"/>
    <n v="5"/>
    <n v="9.1463414634146307"/>
    <n v="5"/>
    <n v="3.6937500000000001"/>
  </r>
  <r>
    <s v="T0037"/>
    <x v="9"/>
    <d v="2025-01-11T00:00:00"/>
    <s v="Saturday"/>
    <d v="1899-12-30T07:00:00"/>
    <x v="13"/>
    <n v="103"/>
    <n v="96"/>
    <n v="15"/>
    <n v="28"/>
    <s v="North"/>
    <n v="0"/>
    <x v="1"/>
    <n v="28"/>
    <n v="23"/>
    <n v="5.3"/>
    <n v="0"/>
    <n v="7"/>
    <n v="1"/>
    <n v="5"/>
    <x v="0"/>
    <x v="2"/>
    <n v="1"/>
    <n v="0.82142857142857095"/>
    <n v="1"/>
    <n v="3.6785714285714199"/>
    <n v="6.86666666666666"/>
    <n v="7"/>
    <n v="9.4749999999999996"/>
  </r>
  <r>
    <s v="T0049"/>
    <x v="2"/>
    <d v="2025-02-04T00:00:00"/>
    <s v="Tuesday"/>
    <d v="1899-12-30T08:15:00"/>
    <x v="2"/>
    <n v="122.625"/>
    <n v="127"/>
    <n v="18.399999999999999"/>
    <n v="32"/>
    <s v="East"/>
    <n v="0"/>
    <x v="0"/>
    <n v="35"/>
    <n v="29"/>
    <n v="9.5"/>
    <n v="0"/>
    <n v="8"/>
    <n v="2"/>
    <n v="1"/>
    <x v="1"/>
    <x v="2"/>
    <n v="0"/>
    <n v="0.82857142857142796"/>
    <n v="1"/>
    <n v="3.83203125"/>
    <n v="6.6644021739130404"/>
    <n v="-4.375"/>
    <n v="8.6013888888888896"/>
  </r>
  <r>
    <s v="T0299"/>
    <x v="0"/>
    <d v="2025-01-26T00:00:00"/>
    <s v="Sunday"/>
    <d v="1899-12-30T16:00:00"/>
    <x v="20"/>
    <n v="28"/>
    <n v="26"/>
    <n v="10.1"/>
    <n v="19"/>
    <s v="West"/>
    <n v="1"/>
    <x v="0"/>
    <n v="24"/>
    <n v="24"/>
    <n v="3.3"/>
    <n v="1"/>
    <n v="16"/>
    <n v="1"/>
    <n v="6"/>
    <x v="0"/>
    <x v="0"/>
    <n v="0"/>
    <n v="1"/>
    <n v="0"/>
    <n v="1.4736842105263099"/>
    <n v="2.7722772277227699"/>
    <n v="2"/>
    <n v="3.6613636363636299"/>
  </r>
  <r>
    <s v="T0291"/>
    <x v="5"/>
    <d v="2025-02-18T00:00:00"/>
    <s v="Tuesday"/>
    <d v="1899-12-30T06:15:00"/>
    <x v="7"/>
    <n v="47"/>
    <n v="46"/>
    <n v="12.5"/>
    <n v="22"/>
    <s v="Central"/>
    <n v="0"/>
    <x v="0"/>
    <n v="32"/>
    <n v="30"/>
    <n v="2.7"/>
    <n v="1"/>
    <n v="6"/>
    <n v="2"/>
    <n v="1"/>
    <x v="1"/>
    <x v="0"/>
    <n v="0"/>
    <n v="0.9375"/>
    <n v="0"/>
    <n v="2.13636363636363"/>
    <n v="3.76"/>
    <n v="1"/>
    <n v="3.4760869565217298"/>
  </r>
  <r>
    <s v="T0314"/>
    <x v="7"/>
    <d v="2025-02-24T00:00:00"/>
    <s v="Monday"/>
    <d v="1899-12-30T08:00:00"/>
    <x v="2"/>
    <n v="94"/>
    <n v="89"/>
    <n v="11.6"/>
    <n v="21"/>
    <s v="West"/>
    <n v="0"/>
    <x v="0"/>
    <n v="30"/>
    <n v="29"/>
    <n v="4.5"/>
    <n v="0"/>
    <n v="8"/>
    <n v="2"/>
    <n v="0"/>
    <x v="1"/>
    <x v="2"/>
    <n v="0"/>
    <n v="0.96666666666666601"/>
    <n v="0"/>
    <n v="4.4761904761904701"/>
    <n v="8.1034482758620694"/>
    <n v="5"/>
    <n v="2.80217391304347"/>
  </r>
  <r>
    <s v="T0146"/>
    <x v="5"/>
    <d v="2025-02-25T00:00:00"/>
    <s v="Tuesday"/>
    <d v="1899-12-30T09:00:00"/>
    <x v="7"/>
    <n v="95"/>
    <n v="84"/>
    <n v="12.5"/>
    <n v="22"/>
    <s v="Central"/>
    <n v="0"/>
    <x v="0"/>
    <n v="28"/>
    <n v="28"/>
    <n v="4.5"/>
    <n v="0"/>
    <n v="9"/>
    <n v="2"/>
    <n v="1"/>
    <x v="1"/>
    <x v="2"/>
    <n v="0"/>
    <n v="1"/>
    <n v="0"/>
    <n v="4.3181818181818103"/>
    <n v="7.6"/>
    <n v="11"/>
    <n v="3.4760869565217298"/>
  </r>
  <r>
    <s v="T0123"/>
    <x v="9"/>
    <d v="2025-02-03T00:00:00"/>
    <s v="Monday"/>
    <d v="1899-12-30T22:45:00"/>
    <x v="1"/>
    <n v="61"/>
    <n v="61"/>
    <n v="15"/>
    <n v="28"/>
    <s v="North"/>
    <n v="0"/>
    <x v="0"/>
    <n v="27"/>
    <n v="23"/>
    <n v="9.5"/>
    <n v="0"/>
    <n v="22"/>
    <n v="2"/>
    <n v="0"/>
    <x v="1"/>
    <x v="0"/>
    <n v="0"/>
    <n v="0.85185185185185097"/>
    <n v="1"/>
    <n v="2.1785714285714199"/>
    <n v="4.0666666666666602"/>
    <n v="0"/>
    <n v="9.4749999999999996"/>
  </r>
  <r>
    <s v="T0369"/>
    <x v="3"/>
    <d v="2025-01-26T00:00:00"/>
    <s v="Sunday"/>
    <d v="1899-12-30T22:15:00"/>
    <x v="8"/>
    <n v="23"/>
    <n v="22"/>
    <n v="8.1999999999999993"/>
    <n v="15"/>
    <s v="Central"/>
    <n v="1"/>
    <x v="0"/>
    <n v="19"/>
    <n v="19"/>
    <n v="2.5"/>
    <n v="0"/>
    <n v="22"/>
    <n v="1"/>
    <n v="6"/>
    <x v="0"/>
    <x v="0"/>
    <n v="0"/>
    <n v="1"/>
    <n v="0"/>
    <n v="1.5333333333333301"/>
    <n v="2.8048780487804801"/>
    <n v="1"/>
    <n v="3.6937500000000001"/>
  </r>
  <r>
    <s v="T0337"/>
    <x v="4"/>
    <d v="2025-01-11T00:00:00"/>
    <s v="Saturday"/>
    <d v="1899-12-30T15:15:00"/>
    <x v="7"/>
    <n v="70"/>
    <n v="63"/>
    <n v="14.2"/>
    <n v="25"/>
    <s v="East"/>
    <n v="0"/>
    <x v="1"/>
    <n v="35"/>
    <n v="31"/>
    <n v="11.4"/>
    <n v="0"/>
    <n v="15"/>
    <n v="1"/>
    <n v="5"/>
    <x v="0"/>
    <x v="0"/>
    <n v="1"/>
    <n v="0.88571428571428501"/>
    <n v="1"/>
    <n v="2.8"/>
    <n v="4.9295774647887303"/>
    <n v="7"/>
    <n v="8.3255319148936096"/>
  </r>
  <r>
    <s v="T0372"/>
    <x v="5"/>
    <d v="2025-02-06T00:00:00"/>
    <s v="Thursday"/>
    <d v="1899-12-30T14:45:00"/>
    <x v="0"/>
    <n v="52"/>
    <n v="50"/>
    <n v="12.5"/>
    <n v="22"/>
    <s v="Central"/>
    <n v="0"/>
    <x v="0"/>
    <n v="27"/>
    <n v="27"/>
    <n v="1.2"/>
    <n v="0"/>
    <n v="14"/>
    <n v="2"/>
    <n v="3"/>
    <x v="1"/>
    <x v="0"/>
    <n v="0"/>
    <n v="1"/>
    <n v="0"/>
    <n v="2.3636363636363602"/>
    <n v="4.16"/>
    <n v="2"/>
    <n v="3.4760869565217298"/>
  </r>
  <r>
    <s v="T0377"/>
    <x v="4"/>
    <d v="2025-01-03T00:00:00"/>
    <s v="Friday"/>
    <d v="1899-12-30T18:00:00"/>
    <x v="12"/>
    <n v="83"/>
    <n v="71"/>
    <n v="14.2"/>
    <n v="25"/>
    <s v="East"/>
    <n v="0"/>
    <x v="0"/>
    <n v="34"/>
    <n v="31"/>
    <n v="8.3000000000000007"/>
    <n v="0"/>
    <n v="18"/>
    <n v="1"/>
    <n v="4"/>
    <x v="1"/>
    <x v="1"/>
    <n v="0"/>
    <n v="0.91176470588235203"/>
    <n v="1"/>
    <n v="3.32"/>
    <n v="5.8450704225352101"/>
    <n v="12"/>
    <n v="8.3255319148936096"/>
  </r>
  <r>
    <s v="T0316"/>
    <x v="0"/>
    <d v="2025-01-04T00:00:00"/>
    <s v="Saturday"/>
    <d v="1899-12-30T21:45:00"/>
    <x v="15"/>
    <n v="34"/>
    <n v="31"/>
    <n v="10.1"/>
    <n v="19"/>
    <s v="West"/>
    <n v="0"/>
    <x v="0"/>
    <n v="26"/>
    <n v="25"/>
    <n v="6"/>
    <n v="0"/>
    <n v="21"/>
    <n v="1"/>
    <n v="5"/>
    <x v="0"/>
    <x v="0"/>
    <n v="0"/>
    <n v="0.96153846153846101"/>
    <n v="1"/>
    <n v="1.7894736842105201"/>
    <n v="3.36633663366336"/>
    <n v="3"/>
    <n v="3.6613636363636299"/>
  </r>
  <r>
    <s v="T0198"/>
    <x v="8"/>
    <d v="2025-01-05T00:00:00"/>
    <s v="Sunday"/>
    <d v="1899-12-30T12:45:00"/>
    <x v="8"/>
    <n v="26"/>
    <n v="24"/>
    <n v="7.3"/>
    <n v="13"/>
    <s v="South"/>
    <n v="0"/>
    <x v="0"/>
    <n v="30"/>
    <n v="29"/>
    <n v="6.2"/>
    <n v="0"/>
    <n v="12"/>
    <n v="1"/>
    <n v="6"/>
    <x v="0"/>
    <x v="0"/>
    <n v="0"/>
    <n v="0.96666666666666601"/>
    <n v="1"/>
    <n v="2"/>
    <n v="3.5616438356164299"/>
    <n v="2"/>
    <n v="4.0518518518518496"/>
  </r>
  <r>
    <s v="T0258"/>
    <x v="0"/>
    <d v="2025-02-20T00:00:00"/>
    <s v="Thursday"/>
    <d v="1899-12-30T17:00:00"/>
    <x v="9"/>
    <n v="95"/>
    <n v="86"/>
    <n v="10.1"/>
    <n v="19"/>
    <s v="West"/>
    <n v="0"/>
    <x v="0"/>
    <n v="18"/>
    <n v="17"/>
    <n v="3.6"/>
    <n v="0"/>
    <n v="17"/>
    <n v="2"/>
    <n v="3"/>
    <x v="1"/>
    <x v="1"/>
    <n v="0"/>
    <n v="0.94444444444444398"/>
    <n v="0"/>
    <n v="5"/>
    <n v="9.4059405940594001"/>
    <n v="9"/>
    <n v="3.6613636363636299"/>
  </r>
  <r>
    <s v="T0140"/>
    <x v="7"/>
    <d v="2025-02-20T00:00:00"/>
    <s v="Thursday"/>
    <d v="1899-12-30T15:30:00"/>
    <x v="3"/>
    <n v="43"/>
    <n v="37"/>
    <n v="11.6"/>
    <n v="21"/>
    <s v="West"/>
    <n v="0"/>
    <x v="0"/>
    <n v="33"/>
    <n v="31"/>
    <n v="3.1"/>
    <n v="0"/>
    <n v="15"/>
    <n v="2"/>
    <n v="3"/>
    <x v="1"/>
    <x v="0"/>
    <n v="0"/>
    <n v="0.939393939393939"/>
    <n v="0"/>
    <n v="2.0476190476190399"/>
    <n v="3.7068965517241299"/>
    <n v="6"/>
    <n v="2.80217391304347"/>
  </r>
  <r>
    <s v="T0474"/>
    <x v="8"/>
    <d v="2025-02-20T00:00:00"/>
    <s v="Thursday"/>
    <d v="1899-12-30T07:45:00"/>
    <x v="13"/>
    <n v="56"/>
    <n v="54"/>
    <n v="7.3"/>
    <n v="13"/>
    <s v="South"/>
    <n v="0"/>
    <x v="0"/>
    <n v="19"/>
    <n v="19"/>
    <n v="2.1"/>
    <n v="0"/>
    <n v="7"/>
    <n v="2"/>
    <n v="3"/>
    <x v="1"/>
    <x v="2"/>
    <n v="0"/>
    <n v="1"/>
    <n v="0"/>
    <n v="4.3076923076923004"/>
    <n v="7.6712328767123203"/>
    <n v="2"/>
    <n v="4.0518518518518496"/>
  </r>
  <r>
    <s v="T0423"/>
    <x v="5"/>
    <d v="2025-01-29T00:00:00"/>
    <s v="Wednesday"/>
    <d v="1899-12-30T16:30:00"/>
    <x v="15"/>
    <n v="61"/>
    <n v="57"/>
    <n v="12.5"/>
    <n v="22"/>
    <s v="Central"/>
    <n v="0"/>
    <x v="0"/>
    <n v="33"/>
    <n v="31"/>
    <n v="2.7"/>
    <n v="0"/>
    <n v="16"/>
    <n v="1"/>
    <n v="2"/>
    <x v="1"/>
    <x v="0"/>
    <n v="0"/>
    <n v="0.939393939393939"/>
    <n v="0"/>
    <n v="2.7727272727272698"/>
    <n v="4.88"/>
    <n v="4"/>
    <n v="3.4760869565217298"/>
  </r>
  <r>
    <s v="T0108"/>
    <x v="1"/>
    <d v="2025-02-16T00:00:00"/>
    <s v="Sunday"/>
    <d v="1899-12-30T21:00:00"/>
    <x v="5"/>
    <n v="26"/>
    <n v="26"/>
    <n v="9.5"/>
    <n v="17"/>
    <s v="North"/>
    <n v="0"/>
    <x v="0"/>
    <n v="18"/>
    <n v="17"/>
    <n v="4.4000000000000004"/>
    <n v="0"/>
    <n v="21"/>
    <n v="2"/>
    <n v="6"/>
    <x v="0"/>
    <x v="0"/>
    <n v="0"/>
    <n v="0.94444444444444398"/>
    <n v="0"/>
    <n v="1.52941176470588"/>
    <n v="2.73684210526315"/>
    <n v="0"/>
    <n v="3.8470588235294101"/>
  </r>
  <r>
    <s v="T0009"/>
    <x v="2"/>
    <d v="2025-02-17T00:00:00"/>
    <s v="Monday"/>
    <d v="1899-12-30T13:45:00"/>
    <x v="0"/>
    <n v="57"/>
    <n v="51"/>
    <n v="18.399999999999999"/>
    <n v="32"/>
    <s v="East"/>
    <n v="0"/>
    <x v="0"/>
    <n v="20"/>
    <n v="17"/>
    <n v="9.5"/>
    <n v="0"/>
    <n v="13"/>
    <n v="2"/>
    <n v="0"/>
    <x v="1"/>
    <x v="0"/>
    <n v="0"/>
    <n v="0.85"/>
    <n v="1"/>
    <n v="1.78125"/>
    <n v="3.0978260869565202"/>
    <n v="6"/>
    <n v="8.6013888888888896"/>
  </r>
  <r>
    <s v="T0414"/>
    <x v="2"/>
    <d v="2025-01-09T00:00:00"/>
    <s v="Thursday"/>
    <d v="1899-12-30T17:15:00"/>
    <x v="2"/>
    <n v="122.625"/>
    <n v="118"/>
    <n v="18.399999999999999"/>
    <n v="32"/>
    <s v="East"/>
    <n v="0"/>
    <x v="0"/>
    <n v="23"/>
    <n v="22"/>
    <n v="9.1999999999999993"/>
    <n v="0"/>
    <n v="17"/>
    <n v="1"/>
    <n v="3"/>
    <x v="1"/>
    <x v="1"/>
    <n v="0"/>
    <n v="0.95652173913043403"/>
    <n v="1"/>
    <n v="3.83203125"/>
    <n v="6.6644021739130404"/>
    <n v="4.625"/>
    <n v="8.6013888888888896"/>
  </r>
  <r>
    <s v="T0483"/>
    <x v="6"/>
    <d v="2025-01-30T00:00:00"/>
    <s v="Thursday"/>
    <d v="1899-12-30T08:30:00"/>
    <x v="11"/>
    <n v="73"/>
    <n v="62"/>
    <n v="6.8"/>
    <n v="12"/>
    <s v="South"/>
    <n v="0"/>
    <x v="0"/>
    <n v="31"/>
    <n v="30"/>
    <n v="0.9"/>
    <n v="0"/>
    <n v="8"/>
    <n v="1"/>
    <n v="3"/>
    <x v="1"/>
    <x v="2"/>
    <n v="0"/>
    <n v="0.967741935483871"/>
    <n v="0"/>
    <n v="6.0833333333333304"/>
    <n v="10.735294117646999"/>
    <n v="11"/>
    <n v="2.7611111111111102"/>
  </r>
  <r>
    <s v="T0349"/>
    <x v="9"/>
    <d v="2025-01-15T00:00:00"/>
    <s v="Wednesday"/>
    <d v="1899-12-30T18:30:00"/>
    <x v="16"/>
    <n v="69"/>
    <n v="67"/>
    <n v="15"/>
    <n v="28"/>
    <s v="North"/>
    <n v="0"/>
    <x v="0"/>
    <n v="31"/>
    <n v="25"/>
    <n v="9.9"/>
    <n v="0"/>
    <n v="18"/>
    <n v="1"/>
    <n v="2"/>
    <x v="1"/>
    <x v="1"/>
    <n v="0"/>
    <n v="0.80645161290322498"/>
    <n v="1"/>
    <n v="2.46428571428571"/>
    <n v="4.5999999999999996"/>
    <n v="2"/>
    <n v="9.4749999999999996"/>
  </r>
  <r>
    <s v="T0469"/>
    <x v="3"/>
    <d v="2025-02-20T00:00:00"/>
    <s v="Thursday"/>
    <d v="1899-12-30T15:45:00"/>
    <x v="7"/>
    <n v="24"/>
    <n v="23"/>
    <n v="8.1999999999999993"/>
    <n v="15"/>
    <s v="Central"/>
    <n v="0"/>
    <x v="0"/>
    <n v="22"/>
    <n v="21"/>
    <n v="2.95"/>
    <n v="1"/>
    <n v="15"/>
    <n v="2"/>
    <n v="3"/>
    <x v="1"/>
    <x v="0"/>
    <n v="0"/>
    <n v="0.95454545454545403"/>
    <n v="0"/>
    <n v="1.6"/>
    <n v="2.9268292682926802"/>
    <n v="1"/>
    <n v="3.6937500000000001"/>
  </r>
  <r>
    <s v="T0192"/>
    <x v="8"/>
    <d v="2025-01-28T00:00:00"/>
    <s v="Tuesday"/>
    <d v="1899-12-30T20:45:00"/>
    <x v="7"/>
    <n v="35"/>
    <n v="34"/>
    <n v="7.3"/>
    <n v="13"/>
    <s v="South"/>
    <n v="0"/>
    <x v="0"/>
    <n v="24"/>
    <n v="23"/>
    <n v="3.2"/>
    <n v="0"/>
    <n v="20"/>
    <n v="1"/>
    <n v="1"/>
    <x v="1"/>
    <x v="0"/>
    <n v="0"/>
    <n v="0.95833333333333304"/>
    <n v="0"/>
    <n v="2.6923076923076898"/>
    <n v="4.7945205479451998"/>
    <n v="1"/>
    <n v="4.0518518518518496"/>
  </r>
  <r>
    <s v="T0235"/>
    <x v="3"/>
    <d v="2025-01-23T00:00:00"/>
    <s v="Thursday"/>
    <d v="1899-12-30T20:00:00"/>
    <x v="22"/>
    <n v="41"/>
    <n v="40"/>
    <n v="8.1999999999999993"/>
    <n v="15"/>
    <s v="Central"/>
    <n v="0"/>
    <x v="0"/>
    <n v="39"/>
    <n v="38"/>
    <n v="2.7"/>
    <n v="0"/>
    <n v="20"/>
    <n v="1"/>
    <n v="3"/>
    <x v="1"/>
    <x v="0"/>
    <n v="0"/>
    <n v="0.97435897435897401"/>
    <n v="0"/>
    <n v="2.7333333333333298"/>
    <n v="5"/>
    <n v="1"/>
    <n v="3.6937500000000001"/>
  </r>
  <r>
    <s v="T0022"/>
    <x v="5"/>
    <d v="2025-02-25T00:00:00"/>
    <s v="Tuesday"/>
    <d v="1899-12-30T09:45:00"/>
    <x v="5"/>
    <n v="66"/>
    <n v="60"/>
    <n v="12.5"/>
    <n v="22"/>
    <s v="Central"/>
    <n v="0"/>
    <x v="0"/>
    <n v="28"/>
    <n v="28"/>
    <n v="4.5"/>
    <n v="0"/>
    <n v="9"/>
    <n v="2"/>
    <n v="1"/>
    <x v="1"/>
    <x v="2"/>
    <n v="0"/>
    <n v="1"/>
    <n v="0"/>
    <n v="3"/>
    <n v="5.28"/>
    <n v="6"/>
    <n v="3.4760869565217298"/>
  </r>
  <r>
    <s v="T0479"/>
    <x v="7"/>
    <d v="2025-02-16T00:00:00"/>
    <s v="Sunday"/>
    <d v="1899-12-30T17:30:00"/>
    <x v="0"/>
    <n v="50"/>
    <n v="44"/>
    <n v="11.6"/>
    <n v="21"/>
    <s v="West"/>
    <n v="0"/>
    <x v="0"/>
    <n v="19"/>
    <n v="19"/>
    <n v="2.2000000000000002"/>
    <n v="0"/>
    <n v="17"/>
    <n v="2"/>
    <n v="6"/>
    <x v="0"/>
    <x v="1"/>
    <n v="0"/>
    <n v="1"/>
    <n v="0"/>
    <n v="2.38095238095238"/>
    <n v="4.3103448275862002"/>
    <n v="6"/>
    <n v="2.80217391304347"/>
  </r>
  <r>
    <s v="T0273"/>
    <x v="4"/>
    <d v="2025-01-17T00:00:00"/>
    <s v="Friday"/>
    <d v="1899-12-30T17:30:00"/>
    <x v="15"/>
    <n v="110"/>
    <n v="96"/>
    <n v="14.2"/>
    <n v="25"/>
    <s v="East"/>
    <n v="0"/>
    <x v="0"/>
    <n v="32"/>
    <n v="28"/>
    <n v="6.7"/>
    <n v="1"/>
    <n v="17"/>
    <n v="1"/>
    <n v="4"/>
    <x v="1"/>
    <x v="1"/>
    <n v="0"/>
    <n v="0.875"/>
    <n v="1"/>
    <n v="4.4000000000000004"/>
    <n v="7.7464788732394299"/>
    <n v="14"/>
    <n v="8.3255319148936096"/>
  </r>
  <r>
    <s v="T0452"/>
    <x v="2"/>
    <d v="2025-02-07T00:00:00"/>
    <s v="Friday"/>
    <d v="1899-12-30T07:15:00"/>
    <x v="10"/>
    <n v="115"/>
    <n v="105"/>
    <n v="18.399999999999999"/>
    <n v="32"/>
    <s v="East"/>
    <n v="0"/>
    <x v="0"/>
    <n v="36"/>
    <n v="29"/>
    <n v="8.3000000000000007"/>
    <n v="0"/>
    <n v="7"/>
    <n v="2"/>
    <n v="4"/>
    <x v="1"/>
    <x v="2"/>
    <n v="0"/>
    <n v="0.80555555555555503"/>
    <n v="1"/>
    <n v="3.59375"/>
    <n v="6.25"/>
    <n v="10"/>
    <n v="8.6013888888888896"/>
  </r>
  <r>
    <s v="T0500"/>
    <x v="7"/>
    <d v="2025-02-28T00:00:00"/>
    <s v="Friday"/>
    <d v="1899-12-30T11:45:00"/>
    <x v="14"/>
    <n v="51"/>
    <n v="50"/>
    <n v="11.6"/>
    <n v="21"/>
    <s v="West"/>
    <n v="0"/>
    <x v="0"/>
    <n v="27"/>
    <n v="27"/>
    <n v="1.4"/>
    <n v="0"/>
    <n v="11"/>
    <n v="2"/>
    <n v="4"/>
    <x v="1"/>
    <x v="0"/>
    <n v="0"/>
    <n v="1"/>
    <n v="0"/>
    <n v="2.4285714285714199"/>
    <n v="4.3965517241379297"/>
    <n v="1"/>
    <n v="2.80217391304347"/>
  </r>
  <r>
    <s v="T0375"/>
    <x v="5"/>
    <d v="2025-01-13T00:00:00"/>
    <s v="Monday"/>
    <d v="1899-12-30T16:30:00"/>
    <x v="1"/>
    <n v="56"/>
    <n v="49"/>
    <n v="12.5"/>
    <n v="22"/>
    <s v="Central"/>
    <n v="0"/>
    <x v="0"/>
    <n v="36"/>
    <n v="34"/>
    <n v="1.2"/>
    <n v="0"/>
    <n v="16"/>
    <n v="1"/>
    <n v="0"/>
    <x v="1"/>
    <x v="0"/>
    <n v="0"/>
    <n v="0.94444444444444398"/>
    <n v="0"/>
    <n v="2.5454545454545401"/>
    <n v="4.4800000000000004"/>
    <n v="7"/>
    <n v="3.4760869565217298"/>
  </r>
  <r>
    <s v="T0079"/>
    <x v="9"/>
    <d v="2025-01-04T00:00:00"/>
    <s v="Saturday"/>
    <d v="1899-12-30T18:45:00"/>
    <x v="2"/>
    <n v="75"/>
    <n v="69"/>
    <n v="15"/>
    <n v="28"/>
    <s v="North"/>
    <n v="0"/>
    <x v="0"/>
    <n v="19"/>
    <n v="16"/>
    <n v="11.1"/>
    <n v="0"/>
    <n v="18"/>
    <n v="1"/>
    <n v="5"/>
    <x v="0"/>
    <x v="1"/>
    <n v="0"/>
    <n v="0.84210526315789402"/>
    <n v="1"/>
    <n v="2.6785714285714199"/>
    <n v="5"/>
    <n v="6"/>
    <n v="9.4749999999999996"/>
  </r>
  <r>
    <s v="T0330"/>
    <x v="3"/>
    <d v="2025-02-05T00:00:00"/>
    <s v="Wednesday"/>
    <d v="1899-12-30T06:15:00"/>
    <x v="14"/>
    <n v="31"/>
    <n v="27"/>
    <n v="8.1999999999999993"/>
    <n v="15"/>
    <s v="Central"/>
    <n v="0"/>
    <x v="0"/>
    <n v="27"/>
    <n v="26"/>
    <n v="0.8"/>
    <n v="0"/>
    <n v="6"/>
    <n v="2"/>
    <n v="2"/>
    <x v="1"/>
    <x v="0"/>
    <n v="0"/>
    <n v="0.96296296296296202"/>
    <n v="0"/>
    <n v="2.0666666666666602"/>
    <n v="3.7804878048780401"/>
    <n v="4"/>
    <n v="3.6937500000000001"/>
  </r>
  <r>
    <s v="T0047"/>
    <x v="9"/>
    <d v="2025-02-03T00:00:00"/>
    <s v="Monday"/>
    <d v="1899-12-30T09:30:00"/>
    <x v="13"/>
    <n v="119"/>
    <n v="110"/>
    <n v="15"/>
    <n v="28"/>
    <s v="North"/>
    <n v="0"/>
    <x v="0"/>
    <n v="27"/>
    <n v="23"/>
    <n v="9.5"/>
    <n v="0"/>
    <n v="9"/>
    <n v="2"/>
    <n v="0"/>
    <x v="1"/>
    <x v="2"/>
    <n v="0"/>
    <n v="0.85185185185185097"/>
    <n v="1"/>
    <n v="4.25"/>
    <n v="7.93333333333333"/>
    <n v="9"/>
    <n v="9.4749999999999996"/>
  </r>
  <r>
    <s v="T0429"/>
    <x v="9"/>
    <d v="2025-03-01T00:00:00"/>
    <s v="Saturday"/>
    <d v="1899-12-30T22:15:00"/>
    <x v="12"/>
    <n v="40"/>
    <n v="38"/>
    <n v="15"/>
    <n v="28"/>
    <s v="North"/>
    <n v="0"/>
    <x v="0"/>
    <n v="21"/>
    <n v="20"/>
    <n v="10.6"/>
    <n v="0"/>
    <n v="22"/>
    <n v="3"/>
    <n v="5"/>
    <x v="0"/>
    <x v="0"/>
    <n v="0"/>
    <n v="0.952380952380952"/>
    <n v="1"/>
    <n v="1.4285714285714199"/>
    <n v="2.6666666666666599"/>
    <n v="2"/>
    <n v="9.4749999999999996"/>
  </r>
  <r>
    <s v="T0456"/>
    <x v="2"/>
    <d v="2025-02-02T00:00:00"/>
    <s v="Sunday"/>
    <d v="1899-12-30T16:15:00"/>
    <x v="2"/>
    <n v="43"/>
    <n v="38"/>
    <n v="18.399999999999999"/>
    <n v="32"/>
    <s v="East"/>
    <n v="0"/>
    <x v="0"/>
    <n v="22"/>
    <n v="20"/>
    <n v="14.2"/>
    <n v="0"/>
    <n v="16"/>
    <n v="2"/>
    <n v="6"/>
    <x v="0"/>
    <x v="0"/>
    <n v="0"/>
    <n v="0.90909090909090895"/>
    <n v="1"/>
    <n v="1.34375"/>
    <n v="2.3369565217391299"/>
    <n v="5"/>
    <n v="8.6013888888888896"/>
  </r>
  <r>
    <s v="T0406"/>
    <x v="8"/>
    <d v="2025-01-05T00:00:00"/>
    <s v="Sunday"/>
    <d v="1899-12-30T07:00:00"/>
    <x v="18"/>
    <n v="43"/>
    <n v="43"/>
    <n v="7.3"/>
    <n v="13"/>
    <s v="South"/>
    <n v="0"/>
    <x v="0"/>
    <n v="30"/>
    <n v="29"/>
    <n v="6.2"/>
    <n v="0"/>
    <n v="7"/>
    <n v="1"/>
    <n v="6"/>
    <x v="0"/>
    <x v="2"/>
    <n v="0"/>
    <n v="0.96666666666666601"/>
    <n v="1"/>
    <n v="3.3076923076922999"/>
    <n v="5.89041095890411"/>
    <n v="0"/>
    <n v="4.0518518518518496"/>
  </r>
  <r>
    <s v="T0463"/>
    <x v="1"/>
    <d v="2025-01-14T00:00:00"/>
    <s v="Tuesday"/>
    <d v="1899-12-30T09:00:00"/>
    <x v="5"/>
    <n v="66"/>
    <n v="65"/>
    <n v="9.5"/>
    <n v="17"/>
    <s v="North"/>
    <n v="1"/>
    <x v="0"/>
    <n v="24"/>
    <n v="23"/>
    <n v="4.0999999999999996"/>
    <n v="1"/>
    <n v="9"/>
    <n v="1"/>
    <n v="1"/>
    <x v="1"/>
    <x v="2"/>
    <n v="0"/>
    <n v="0.95833333333333304"/>
    <n v="0"/>
    <n v="3.8823529411764701"/>
    <n v="6.9473684210526301"/>
    <n v="1"/>
    <n v="3.8470588235294101"/>
  </r>
  <r>
    <s v="T0220"/>
    <x v="4"/>
    <d v="2025-01-17T00:00:00"/>
    <s v="Friday"/>
    <d v="1899-12-30T15:45:00"/>
    <x v="1"/>
    <n v="57"/>
    <n v="53"/>
    <n v="14.2"/>
    <n v="25"/>
    <s v="East"/>
    <n v="0"/>
    <x v="0"/>
    <n v="32"/>
    <n v="28"/>
    <n v="6.7"/>
    <n v="1"/>
    <n v="15"/>
    <n v="1"/>
    <n v="4"/>
    <x v="1"/>
    <x v="0"/>
    <n v="0"/>
    <n v="0.875"/>
    <n v="1"/>
    <n v="2.2799999999999998"/>
    <n v="4.0140845070422504"/>
    <n v="4"/>
    <n v="8.3255319148936096"/>
  </r>
  <r>
    <s v="T0457"/>
    <x v="5"/>
    <d v="2025-01-25T00:00:00"/>
    <s v="Saturday"/>
    <d v="1899-12-30T19:15:00"/>
    <x v="7"/>
    <n v="89"/>
    <n v="86"/>
    <n v="12.5"/>
    <n v="22"/>
    <s v="Central"/>
    <n v="0"/>
    <x v="2"/>
    <n v="19"/>
    <n v="18"/>
    <n v="0.9"/>
    <n v="0"/>
    <n v="19"/>
    <n v="1"/>
    <n v="5"/>
    <x v="0"/>
    <x v="1"/>
    <n v="1"/>
    <n v="0.94736842105263097"/>
    <n v="0"/>
    <n v="4.0454545454545396"/>
    <n v="7.12"/>
    <n v="3"/>
    <n v="3.4760869565217298"/>
  </r>
  <r>
    <s v="T0339"/>
    <x v="2"/>
    <d v="2025-01-15T00:00:00"/>
    <s v="Wednesday"/>
    <d v="1899-12-30T08:45:00"/>
    <x v="7"/>
    <n v="96"/>
    <n v="86"/>
    <n v="18.399999999999999"/>
    <n v="32"/>
    <s v="East"/>
    <n v="0"/>
    <x v="0"/>
    <n v="30"/>
    <n v="26"/>
    <n v="5.7"/>
    <n v="0"/>
    <n v="8"/>
    <n v="1"/>
    <n v="2"/>
    <x v="1"/>
    <x v="2"/>
    <n v="0"/>
    <n v="0.86666666666666603"/>
    <n v="1"/>
    <n v="3"/>
    <n v="5.2173913043478199"/>
    <n v="10"/>
    <n v="8.6013888888888896"/>
  </r>
  <r>
    <s v="T0136"/>
    <x v="9"/>
    <d v="2025-03-01T00:00:00"/>
    <s v="Saturday"/>
    <d v="1899-12-30T18:30:00"/>
    <x v="1"/>
    <n v="62"/>
    <n v="60"/>
    <n v="15"/>
    <n v="28"/>
    <s v="North"/>
    <n v="0"/>
    <x v="0"/>
    <n v="21"/>
    <n v="20"/>
    <n v="10.6"/>
    <n v="0"/>
    <n v="18"/>
    <n v="3"/>
    <n v="5"/>
    <x v="0"/>
    <x v="1"/>
    <n v="0"/>
    <n v="0.952380952380952"/>
    <n v="1"/>
    <n v="2.21428571428571"/>
    <n v="4.1333333333333302"/>
    <n v="2"/>
    <n v="9.4749999999999996"/>
  </r>
  <r>
    <s v="T0202"/>
    <x v="5"/>
    <d v="2025-02-15T00:00:00"/>
    <s v="Saturday"/>
    <d v="1899-12-30T20:30:00"/>
    <x v="11"/>
    <n v="42"/>
    <n v="38"/>
    <n v="12.5"/>
    <n v="22"/>
    <s v="Central"/>
    <n v="0"/>
    <x v="3"/>
    <n v="24"/>
    <n v="23"/>
    <n v="4.2"/>
    <n v="0"/>
    <n v="20"/>
    <n v="2"/>
    <n v="5"/>
    <x v="0"/>
    <x v="0"/>
    <n v="1"/>
    <n v="0.95833333333333304"/>
    <n v="0"/>
    <n v="1.9090909090909001"/>
    <n v="3.36"/>
    <n v="4"/>
    <n v="3.4760869565217298"/>
  </r>
  <r>
    <s v="T0462"/>
    <x v="0"/>
    <d v="2025-01-02T00:00:00"/>
    <s v="Thursday"/>
    <d v="1899-12-30T09:30:00"/>
    <x v="5"/>
    <n v="73"/>
    <n v="72"/>
    <n v="10.1"/>
    <n v="19"/>
    <s v="West"/>
    <n v="0"/>
    <x v="0"/>
    <n v="30"/>
    <n v="30"/>
    <n v="3.3"/>
    <n v="1"/>
    <n v="9"/>
    <n v="1"/>
    <n v="3"/>
    <x v="1"/>
    <x v="2"/>
    <n v="0"/>
    <n v="1"/>
    <n v="0"/>
    <n v="3.8421052631578898"/>
    <n v="7.2277227722772199"/>
    <n v="1"/>
    <n v="3.6613636363636299"/>
  </r>
  <r>
    <s v="T0111"/>
    <x v="9"/>
    <d v="2025-02-06T00:00:00"/>
    <s v="Thursday"/>
    <d v="1899-12-30T11:30:00"/>
    <x v="1"/>
    <n v="47"/>
    <n v="43"/>
    <n v="15"/>
    <n v="28"/>
    <s v="North"/>
    <n v="0"/>
    <x v="0"/>
    <n v="34"/>
    <n v="32"/>
    <n v="10.3"/>
    <n v="0"/>
    <n v="11"/>
    <n v="2"/>
    <n v="3"/>
    <x v="1"/>
    <x v="0"/>
    <n v="0"/>
    <n v="0.94117647058823495"/>
    <n v="1"/>
    <n v="1.6785714285714199"/>
    <n v="3.1333333333333302"/>
    <n v="4"/>
    <n v="9.4749999999999996"/>
  </r>
  <r>
    <s v="T0499"/>
    <x v="7"/>
    <d v="2025-01-05T00:00:00"/>
    <s v="Sunday"/>
    <d v="1899-12-30T16:00:00"/>
    <x v="13"/>
    <n v="27"/>
    <n v="23"/>
    <n v="11.6"/>
    <n v="21"/>
    <s v="West"/>
    <n v="0"/>
    <x v="0"/>
    <n v="29"/>
    <n v="28"/>
    <n v="1.2"/>
    <n v="0"/>
    <n v="16"/>
    <n v="1"/>
    <n v="6"/>
    <x v="0"/>
    <x v="0"/>
    <n v="0"/>
    <n v="0.96551724137931005"/>
    <n v="0"/>
    <n v="1.28571428571428"/>
    <n v="2.3275862068965498"/>
    <n v="4"/>
    <n v="2.80217391304347"/>
  </r>
  <r>
    <s v="T0064"/>
    <x v="9"/>
    <d v="2025-02-06T00:00:00"/>
    <s v="Thursday"/>
    <d v="1899-12-30T06:30:00"/>
    <x v="1"/>
    <n v="48"/>
    <n v="43"/>
    <n v="15"/>
    <n v="28"/>
    <s v="North"/>
    <n v="0"/>
    <x v="0"/>
    <n v="34"/>
    <n v="32"/>
    <n v="10.3"/>
    <n v="0"/>
    <n v="6"/>
    <n v="2"/>
    <n v="3"/>
    <x v="1"/>
    <x v="0"/>
    <n v="0"/>
    <n v="0.94117647058823495"/>
    <n v="1"/>
    <n v="1.71428571428571"/>
    <n v="3.2"/>
    <n v="5"/>
    <n v="9.4749999999999996"/>
  </r>
  <r>
    <s v="T0293"/>
    <x v="4"/>
    <d v="2025-01-19T00:00:00"/>
    <s v="Sunday"/>
    <d v="1899-12-30T15:00:00"/>
    <x v="2"/>
    <n v="26"/>
    <n v="25"/>
    <n v="14.2"/>
    <n v="25"/>
    <s v="East"/>
    <n v="0"/>
    <x v="0"/>
    <n v="23"/>
    <n v="21"/>
    <n v="6.7"/>
    <n v="1"/>
    <n v="15"/>
    <n v="1"/>
    <n v="6"/>
    <x v="0"/>
    <x v="0"/>
    <n v="0"/>
    <n v="0.91304347826086896"/>
    <n v="1"/>
    <n v="1.04"/>
    <n v="1.83098591549295"/>
    <n v="1"/>
    <n v="8.3255319148936096"/>
  </r>
  <r>
    <s v="T0093"/>
    <x v="1"/>
    <d v="2025-02-23T00:00:00"/>
    <s v="Sunday"/>
    <d v="1899-12-30T09:15:00"/>
    <x v="19"/>
    <n v="47"/>
    <n v="43"/>
    <n v="9.5"/>
    <n v="17"/>
    <s v="North"/>
    <n v="0"/>
    <x v="0"/>
    <n v="27"/>
    <n v="26"/>
    <n v="1.8"/>
    <n v="0"/>
    <n v="9"/>
    <n v="2"/>
    <n v="6"/>
    <x v="0"/>
    <x v="2"/>
    <n v="0"/>
    <n v="0.96296296296296202"/>
    <n v="0"/>
    <n v="2.7647058823529398"/>
    <n v="4.9473684210526301"/>
    <n v="4"/>
    <n v="3.8470588235294101"/>
  </r>
  <r>
    <s v="T0246"/>
    <x v="7"/>
    <d v="2025-01-03T00:00:00"/>
    <s v="Friday"/>
    <d v="1899-12-30T16:30:00"/>
    <x v="1"/>
    <n v="54"/>
    <n v="52"/>
    <n v="11.6"/>
    <n v="21"/>
    <s v="West"/>
    <n v="0"/>
    <x v="0"/>
    <n v="35"/>
    <n v="34"/>
    <n v="4.5999999999999996"/>
    <n v="0"/>
    <n v="16"/>
    <n v="1"/>
    <n v="4"/>
    <x v="1"/>
    <x v="0"/>
    <n v="0"/>
    <n v="0.97142857142857097"/>
    <n v="0"/>
    <n v="2.5714285714285698"/>
    <n v="4.6551724137930997"/>
    <n v="2"/>
    <n v="2.80217391304347"/>
  </r>
  <r>
    <s v="T0063"/>
    <x v="4"/>
    <d v="2025-01-23T00:00:00"/>
    <s v="Thursday"/>
    <d v="1899-12-30T15:00:00"/>
    <x v="2"/>
    <n v="48"/>
    <n v="43"/>
    <n v="14.2"/>
    <n v="25"/>
    <s v="East"/>
    <n v="0"/>
    <x v="0"/>
    <n v="20"/>
    <n v="17"/>
    <n v="5"/>
    <n v="0"/>
    <n v="15"/>
    <n v="1"/>
    <n v="3"/>
    <x v="1"/>
    <x v="0"/>
    <n v="0"/>
    <n v="0.85"/>
    <n v="0"/>
    <n v="1.92"/>
    <n v="3.3802816901408401"/>
    <n v="5"/>
    <n v="8.3255319148936096"/>
  </r>
  <r>
    <s v="T0001"/>
    <x v="9"/>
    <d v="2025-02-23T00:00:00"/>
    <s v="Sunday"/>
    <d v="1899-12-30T16:30:00"/>
    <x v="7"/>
    <n v="42"/>
    <n v="41"/>
    <n v="15"/>
    <n v="28"/>
    <s v="North"/>
    <n v="0"/>
    <x v="0"/>
    <n v="19"/>
    <n v="16"/>
    <n v="6.2"/>
    <n v="0"/>
    <n v="16"/>
    <n v="2"/>
    <n v="6"/>
    <x v="0"/>
    <x v="0"/>
    <n v="0"/>
    <n v="0.84210526315789402"/>
    <n v="1"/>
    <n v="1.5"/>
    <n v="2.8"/>
    <n v="1"/>
    <n v="9.4749999999999996"/>
  </r>
  <r>
    <s v="T0028"/>
    <x v="2"/>
    <d v="2025-02-24T00:00:00"/>
    <s v="Monday"/>
    <d v="1899-12-30T16:45:00"/>
    <x v="1"/>
    <n v="55"/>
    <n v="53"/>
    <n v="18.399999999999999"/>
    <n v="32"/>
    <s v="East"/>
    <n v="0"/>
    <x v="0"/>
    <n v="30"/>
    <n v="28"/>
    <n v="18.8"/>
    <n v="0"/>
    <n v="16"/>
    <n v="2"/>
    <n v="0"/>
    <x v="1"/>
    <x v="0"/>
    <n v="0"/>
    <n v="0.93333333333333302"/>
    <n v="1"/>
    <n v="1.71875"/>
    <n v="2.9891304347826"/>
    <n v="2"/>
    <n v="8.6013888888888896"/>
  </r>
  <r>
    <s v="T0477"/>
    <x v="5"/>
    <d v="2025-02-21T00:00:00"/>
    <s v="Friday"/>
    <d v="1899-12-30T14:45:00"/>
    <x v="17"/>
    <n v="31"/>
    <n v="30"/>
    <n v="12.5"/>
    <n v="22"/>
    <s v="Central"/>
    <n v="0"/>
    <x v="0"/>
    <n v="38"/>
    <n v="36"/>
    <n v="0.9"/>
    <n v="0"/>
    <n v="14"/>
    <n v="2"/>
    <n v="4"/>
    <x v="1"/>
    <x v="0"/>
    <n v="0"/>
    <n v="0.94736842105263097"/>
    <n v="0"/>
    <n v="1.4090909090909001"/>
    <n v="2.48"/>
    <n v="1"/>
    <n v="3.4760869565217298"/>
  </r>
  <r>
    <s v="T0251"/>
    <x v="9"/>
    <d v="2025-02-16T00:00:00"/>
    <s v="Sunday"/>
    <d v="1899-12-30T13:45:00"/>
    <x v="3"/>
    <n v="40"/>
    <n v="39"/>
    <n v="15"/>
    <n v="28"/>
    <s v="North"/>
    <n v="0"/>
    <x v="0"/>
    <n v="25"/>
    <n v="21"/>
    <n v="7.7"/>
    <n v="0"/>
    <n v="13"/>
    <n v="2"/>
    <n v="6"/>
    <x v="0"/>
    <x v="0"/>
    <n v="0"/>
    <n v="0.84"/>
    <n v="1"/>
    <n v="1.4285714285714199"/>
    <n v="2.6666666666666599"/>
    <n v="1"/>
    <n v="9.4749999999999996"/>
  </r>
  <r>
    <s v="T0357"/>
    <x v="5"/>
    <d v="2025-01-06T00:00:00"/>
    <s v="Monday"/>
    <d v="1899-12-30T09:30:00"/>
    <x v="1"/>
    <n v="101"/>
    <n v="101"/>
    <n v="12.5"/>
    <n v="22"/>
    <s v="Central"/>
    <n v="0"/>
    <x v="0"/>
    <n v="38"/>
    <n v="35"/>
    <n v="5.9"/>
    <n v="0"/>
    <n v="9"/>
    <n v="1"/>
    <n v="0"/>
    <x v="1"/>
    <x v="2"/>
    <n v="0"/>
    <n v="0.92105263157894701"/>
    <n v="1"/>
    <n v="4.5909090909090899"/>
    <n v="8.08"/>
    <n v="0"/>
    <n v="3.4760869565217298"/>
  </r>
  <r>
    <s v="T0178"/>
    <x v="9"/>
    <d v="2025-01-25T00:00:00"/>
    <s v="Saturday"/>
    <d v="1899-12-30T07:15:00"/>
    <x v="2"/>
    <n v="122.625"/>
    <n v="121"/>
    <n v="15"/>
    <n v="28"/>
    <s v="North"/>
    <n v="0"/>
    <x v="2"/>
    <n v="22"/>
    <n v="20"/>
    <n v="12.1"/>
    <n v="0"/>
    <n v="7"/>
    <n v="1"/>
    <n v="5"/>
    <x v="0"/>
    <x v="2"/>
    <n v="1"/>
    <n v="0.90909090909090895"/>
    <n v="1"/>
    <n v="4.3794642857142803"/>
    <n v="8.1750000000000007"/>
    <n v="1.625"/>
    <n v="9.4749999999999996"/>
  </r>
  <r>
    <s v="T0188"/>
    <x v="2"/>
    <d v="2025-01-19T00:00:00"/>
    <s v="Sunday"/>
    <d v="1899-12-30T11:45:00"/>
    <x v="19"/>
    <n v="122.625"/>
    <n v="37"/>
    <n v="18.399999999999999"/>
    <n v="32"/>
    <s v="East"/>
    <n v="0"/>
    <x v="0"/>
    <n v="34"/>
    <n v="30"/>
    <n v="9.3000000000000007"/>
    <n v="0"/>
    <n v="11"/>
    <n v="1"/>
    <n v="6"/>
    <x v="0"/>
    <x v="0"/>
    <n v="0"/>
    <n v="0.88235294117647001"/>
    <n v="1"/>
    <n v="3.83203125"/>
    <n v="6.6644021739130404"/>
    <n v="85.625"/>
    <n v="8.6013888888888896"/>
  </r>
  <r>
    <s v="T0149"/>
    <x v="5"/>
    <d v="2025-01-17T00:00:00"/>
    <s v="Friday"/>
    <d v="1899-12-30T18:00:00"/>
    <x v="10"/>
    <n v="91"/>
    <n v="77"/>
    <n v="12.5"/>
    <n v="22"/>
    <s v="Central"/>
    <n v="0"/>
    <x v="0"/>
    <n v="19"/>
    <n v="18"/>
    <n v="2"/>
    <n v="0"/>
    <n v="18"/>
    <n v="1"/>
    <n v="4"/>
    <x v="1"/>
    <x v="1"/>
    <n v="0"/>
    <n v="0.94736842105263097"/>
    <n v="0"/>
    <n v="4.1363636363636296"/>
    <n v="7.28"/>
    <n v="14"/>
    <n v="3.4760869565217298"/>
  </r>
  <r>
    <s v="T0240"/>
    <x v="3"/>
    <d v="2025-01-26T00:00:00"/>
    <s v="Sunday"/>
    <d v="1899-12-30T15:45:00"/>
    <x v="15"/>
    <n v="27"/>
    <n v="24"/>
    <n v="8.1999999999999993"/>
    <n v="15"/>
    <s v="Central"/>
    <n v="1"/>
    <x v="0"/>
    <n v="19"/>
    <n v="19"/>
    <n v="2.5"/>
    <n v="0"/>
    <n v="15"/>
    <n v="1"/>
    <n v="6"/>
    <x v="0"/>
    <x v="0"/>
    <n v="0"/>
    <n v="1"/>
    <n v="0"/>
    <n v="1.8"/>
    <n v="3.2926829268292601"/>
    <n v="3"/>
    <n v="3.6937500000000001"/>
  </r>
  <r>
    <s v="T0458"/>
    <x v="6"/>
    <d v="2025-01-17T00:00:00"/>
    <s v="Friday"/>
    <d v="1899-12-30T17:15:00"/>
    <x v="5"/>
    <n v="57"/>
    <n v="52"/>
    <n v="6.8"/>
    <n v="12"/>
    <s v="South"/>
    <n v="0"/>
    <x v="0"/>
    <n v="37"/>
    <n v="35"/>
    <n v="2.6"/>
    <n v="0"/>
    <n v="17"/>
    <n v="1"/>
    <n v="4"/>
    <x v="1"/>
    <x v="1"/>
    <n v="0"/>
    <n v="0.94594594594594505"/>
    <n v="0"/>
    <n v="4.75"/>
    <n v="8.3823529411764692"/>
    <n v="5"/>
    <n v="2.7611111111111102"/>
  </r>
  <r>
    <s v="T0471"/>
    <x v="5"/>
    <d v="2025-01-06T00:00:00"/>
    <s v="Monday"/>
    <d v="1899-12-30T14:00:00"/>
    <x v="8"/>
    <n v="46"/>
    <n v="43"/>
    <n v="12.5"/>
    <n v="22"/>
    <s v="Central"/>
    <n v="0"/>
    <x v="0"/>
    <n v="38"/>
    <n v="35"/>
    <n v="5.9"/>
    <n v="0"/>
    <n v="14"/>
    <n v="1"/>
    <n v="0"/>
    <x v="1"/>
    <x v="0"/>
    <n v="0"/>
    <n v="0.92105263157894701"/>
    <n v="1"/>
    <n v="2.0909090909090899"/>
    <n v="3.68"/>
    <n v="3"/>
    <n v="3.4760869565217298"/>
  </r>
  <r>
    <s v="T0159"/>
    <x v="3"/>
    <d v="2025-02-12T00:00:00"/>
    <s v="Wednesday"/>
    <d v="1899-12-30T14:45:00"/>
    <x v="0"/>
    <n v="43"/>
    <n v="37"/>
    <n v="8.1999999999999993"/>
    <n v="15"/>
    <s v="Central"/>
    <n v="0"/>
    <x v="0"/>
    <n v="25"/>
    <n v="24"/>
    <n v="8.1999999999999993"/>
    <n v="0"/>
    <n v="14"/>
    <n v="2"/>
    <n v="2"/>
    <x v="1"/>
    <x v="0"/>
    <n v="0"/>
    <n v="0.96"/>
    <n v="1"/>
    <n v="2.86666666666666"/>
    <n v="5.2439024390243896"/>
    <n v="6"/>
    <n v="3.6937500000000001"/>
  </r>
  <r>
    <s v="T0144"/>
    <x v="9"/>
    <d v="2025-01-04T00:00:00"/>
    <s v="Saturday"/>
    <d v="1899-12-30T06:30:00"/>
    <x v="15"/>
    <n v="37"/>
    <n v="36"/>
    <n v="15"/>
    <n v="28"/>
    <s v="North"/>
    <n v="0"/>
    <x v="0"/>
    <n v="19"/>
    <n v="16"/>
    <n v="11.1"/>
    <n v="0"/>
    <n v="6"/>
    <n v="1"/>
    <n v="5"/>
    <x v="0"/>
    <x v="0"/>
    <n v="0"/>
    <n v="0.84210526315789402"/>
    <n v="1"/>
    <n v="1.3214285714285701"/>
    <n v="2.4666666666666601"/>
    <n v="1"/>
    <n v="9.4749999999999996"/>
  </r>
  <r>
    <s v="T0274"/>
    <x v="7"/>
    <d v="2025-01-13T00:00:00"/>
    <s v="Monday"/>
    <d v="1899-12-30T14:00:00"/>
    <x v="13"/>
    <n v="48"/>
    <n v="47"/>
    <n v="11.6"/>
    <n v="21"/>
    <s v="West"/>
    <n v="0"/>
    <x v="0"/>
    <n v="23"/>
    <n v="22"/>
    <n v="0.5"/>
    <n v="0"/>
    <n v="14"/>
    <n v="1"/>
    <n v="0"/>
    <x v="1"/>
    <x v="0"/>
    <n v="0"/>
    <n v="0.95652173913043403"/>
    <n v="0"/>
    <n v="2.2857142857142798"/>
    <n v="4.13793103448275"/>
    <n v="1"/>
    <n v="2.80217391304347"/>
  </r>
  <r>
    <s v="T0060"/>
    <x v="9"/>
    <d v="2025-02-07T00:00:00"/>
    <s v="Friday"/>
    <d v="1899-12-30T13:00:00"/>
    <x v="0"/>
    <n v="47"/>
    <n v="44"/>
    <n v="15"/>
    <n v="28"/>
    <s v="North"/>
    <n v="0"/>
    <x v="0"/>
    <n v="23"/>
    <n v="19"/>
    <n v="6.8"/>
    <n v="0"/>
    <n v="13"/>
    <n v="2"/>
    <n v="4"/>
    <x v="1"/>
    <x v="0"/>
    <n v="0"/>
    <n v="0.82608695652173902"/>
    <n v="1"/>
    <n v="1.6785714285714199"/>
    <n v="3.1333333333333302"/>
    <n v="3"/>
    <n v="9.4749999999999996"/>
  </r>
  <r>
    <s v="T0203"/>
    <x v="3"/>
    <d v="2025-02-03T00:00:00"/>
    <s v="Monday"/>
    <d v="1899-12-30T11:15:00"/>
    <x v="4"/>
    <n v="24"/>
    <n v="24"/>
    <n v="8.1999999999999993"/>
    <n v="15"/>
    <s v="Central"/>
    <n v="0"/>
    <x v="0"/>
    <n v="31"/>
    <n v="30"/>
    <n v="6.1"/>
    <n v="0"/>
    <n v="11"/>
    <n v="2"/>
    <n v="0"/>
    <x v="1"/>
    <x v="0"/>
    <n v="0"/>
    <n v="0.967741935483871"/>
    <n v="1"/>
    <n v="1.6"/>
    <n v="2.9268292682926802"/>
    <n v="0"/>
    <n v="3.6937500000000001"/>
  </r>
  <r>
    <s v="T0424"/>
    <x v="2"/>
    <d v="2025-01-08T00:00:00"/>
    <s v="Wednesday"/>
    <d v="1899-12-30T16:30:00"/>
    <x v="0"/>
    <n v="66"/>
    <n v="60"/>
    <n v="18.399999999999999"/>
    <n v="32"/>
    <s v="East"/>
    <n v="0"/>
    <x v="0"/>
    <n v="25"/>
    <n v="24"/>
    <n v="8.8000000000000007"/>
    <n v="1"/>
    <n v="16"/>
    <n v="1"/>
    <n v="2"/>
    <x v="1"/>
    <x v="0"/>
    <n v="0"/>
    <n v="0.96"/>
    <n v="1"/>
    <n v="2.0625"/>
    <n v="3.5869565217391299"/>
    <n v="6"/>
    <n v="8.6013888888888896"/>
  </r>
  <r>
    <s v="T0209"/>
    <x v="5"/>
    <d v="2025-01-09T00:00:00"/>
    <s v="Thursday"/>
    <d v="1899-12-30T07:00:00"/>
    <x v="15"/>
    <n v="77"/>
    <n v="74"/>
    <n v="12.5"/>
    <n v="22"/>
    <s v="Central"/>
    <n v="0"/>
    <x v="0"/>
    <n v="33"/>
    <n v="31"/>
    <n v="4.5"/>
    <n v="0"/>
    <n v="7"/>
    <n v="1"/>
    <n v="3"/>
    <x v="1"/>
    <x v="2"/>
    <n v="0"/>
    <n v="0.939393939393939"/>
    <n v="0"/>
    <n v="3.5"/>
    <n v="6.16"/>
    <n v="3"/>
    <n v="3.4760869565217298"/>
  </r>
  <r>
    <s v="T0436"/>
    <x v="1"/>
    <d v="2025-02-28T00:00:00"/>
    <s v="Friday"/>
    <d v="1899-12-30T17:45:00"/>
    <x v="5"/>
    <n v="56"/>
    <n v="51"/>
    <n v="9.5"/>
    <n v="17"/>
    <s v="North"/>
    <n v="0"/>
    <x v="0"/>
    <n v="19"/>
    <n v="18"/>
    <n v="10.4"/>
    <n v="0"/>
    <n v="17"/>
    <n v="2"/>
    <n v="4"/>
    <x v="1"/>
    <x v="1"/>
    <n v="0"/>
    <n v="0.94736842105263097"/>
    <n v="1"/>
    <n v="3.2941176470588198"/>
    <n v="5.8947368421052602"/>
    <n v="5"/>
    <n v="3.8470588235294101"/>
  </r>
  <r>
    <s v="T0150"/>
    <x v="3"/>
    <d v="2025-03-01T00:00:00"/>
    <s v="Saturday"/>
    <d v="1899-12-30T08:15:00"/>
    <x v="3"/>
    <n v="64"/>
    <n v="63"/>
    <n v="8.1999999999999993"/>
    <n v="15"/>
    <s v="Central"/>
    <n v="0"/>
    <x v="0"/>
    <n v="33"/>
    <n v="32"/>
    <n v="0.6"/>
    <n v="0"/>
    <n v="8"/>
    <n v="3"/>
    <n v="5"/>
    <x v="0"/>
    <x v="2"/>
    <n v="0"/>
    <n v="0.96969696969696895"/>
    <n v="0"/>
    <n v="4.2666666666666604"/>
    <n v="7.8048780487804796"/>
    <n v="1"/>
    <n v="3.6937500000000001"/>
  </r>
  <r>
    <s v="T0124"/>
    <x v="5"/>
    <d v="2025-01-18T00:00:00"/>
    <s v="Saturday"/>
    <d v="1899-12-30T15:30:00"/>
    <x v="3"/>
    <n v="43"/>
    <n v="39"/>
    <n v="12.5"/>
    <n v="22"/>
    <s v="Central"/>
    <n v="0"/>
    <x v="3"/>
    <n v="28"/>
    <n v="28"/>
    <n v="5.8"/>
    <n v="0"/>
    <n v="15"/>
    <n v="1"/>
    <n v="5"/>
    <x v="0"/>
    <x v="0"/>
    <n v="1"/>
    <n v="1"/>
    <n v="1"/>
    <n v="1.9545454545454499"/>
    <n v="3.44"/>
    <n v="4"/>
    <n v="3.4760869565217298"/>
  </r>
  <r>
    <s v="T0312"/>
    <x v="5"/>
    <d v="2025-01-06T00:00:00"/>
    <s v="Monday"/>
    <d v="1899-12-30T20:15:00"/>
    <x v="13"/>
    <n v="42"/>
    <n v="41"/>
    <n v="12.5"/>
    <n v="22"/>
    <s v="Central"/>
    <n v="0"/>
    <x v="0"/>
    <n v="38"/>
    <n v="35"/>
    <n v="5.9"/>
    <n v="0"/>
    <n v="20"/>
    <n v="1"/>
    <n v="0"/>
    <x v="1"/>
    <x v="0"/>
    <n v="0"/>
    <n v="0.92105263157894701"/>
    <n v="1"/>
    <n v="1.9090909090909001"/>
    <n v="3.36"/>
    <n v="1"/>
    <n v="3.4760869565217298"/>
  </r>
  <r>
    <s v="T0017"/>
    <x v="9"/>
    <d v="2025-01-05T00:00:00"/>
    <s v="Sunday"/>
    <d v="1899-12-30T17:00:00"/>
    <x v="1"/>
    <n v="70"/>
    <n v="62"/>
    <n v="15"/>
    <n v="28"/>
    <s v="North"/>
    <n v="0"/>
    <x v="0"/>
    <n v="21"/>
    <n v="20"/>
    <n v="3"/>
    <n v="0"/>
    <n v="17"/>
    <n v="1"/>
    <n v="6"/>
    <x v="0"/>
    <x v="1"/>
    <n v="0"/>
    <n v="0.952380952380952"/>
    <n v="0"/>
    <n v="2.5"/>
    <n v="4.6666666666666599"/>
    <n v="8"/>
    <n v="9.4749999999999996"/>
  </r>
  <r>
    <s v="T0225"/>
    <x v="3"/>
    <d v="2025-02-18T00:00:00"/>
    <s v="Tuesday"/>
    <d v="1899-12-30T21:30:00"/>
    <x v="5"/>
    <n v="40"/>
    <n v="35"/>
    <n v="8.1999999999999993"/>
    <n v="15"/>
    <s v="Central"/>
    <n v="0"/>
    <x v="0"/>
    <n v="23"/>
    <n v="23"/>
    <n v="2.1"/>
    <n v="0"/>
    <n v="21"/>
    <n v="2"/>
    <n v="1"/>
    <x v="1"/>
    <x v="0"/>
    <n v="0"/>
    <n v="1"/>
    <n v="0"/>
    <n v="2.6666666666666599"/>
    <n v="4.8780487804878003"/>
    <n v="5"/>
    <n v="3.6937500000000001"/>
  </r>
  <r>
    <s v="T0459"/>
    <x v="5"/>
    <d v="2025-02-02T00:00:00"/>
    <s v="Sunday"/>
    <d v="1899-12-30T20:15:00"/>
    <x v="7"/>
    <n v="28"/>
    <n v="25"/>
    <n v="12.5"/>
    <n v="22"/>
    <s v="Central"/>
    <n v="0"/>
    <x v="0"/>
    <n v="22"/>
    <n v="21"/>
    <n v="2.2999999999999998"/>
    <n v="0"/>
    <n v="20"/>
    <n v="2"/>
    <n v="6"/>
    <x v="0"/>
    <x v="0"/>
    <n v="0"/>
    <n v="0.95454545454545403"/>
    <n v="0"/>
    <n v="1.27272727272727"/>
    <n v="2.2400000000000002"/>
    <n v="3"/>
    <n v="3.4760869565217298"/>
  </r>
  <r>
    <s v="T0230"/>
    <x v="0"/>
    <d v="2025-02-25T00:00:00"/>
    <s v="Tuesday"/>
    <d v="1899-12-30T20:00:00"/>
    <x v="2"/>
    <n v="37"/>
    <n v="33"/>
    <n v="10.1"/>
    <n v="19"/>
    <s v="West"/>
    <n v="0"/>
    <x v="0"/>
    <n v="39"/>
    <n v="38"/>
    <n v="6"/>
    <n v="0"/>
    <n v="20"/>
    <n v="2"/>
    <n v="1"/>
    <x v="1"/>
    <x v="0"/>
    <n v="0"/>
    <n v="0.97435897435897401"/>
    <n v="1"/>
    <n v="1.9473684210526301"/>
    <n v="3.66336633663366"/>
    <n v="4"/>
    <n v="3.6613636363636299"/>
  </r>
  <r>
    <s v="T0309"/>
    <x v="4"/>
    <d v="2025-02-22T00:00:00"/>
    <s v="Saturday"/>
    <d v="1899-12-30T07:30:00"/>
    <x v="20"/>
    <n v="122.625"/>
    <n v="126"/>
    <n v="14.2"/>
    <n v="25"/>
    <s v="East"/>
    <n v="0"/>
    <x v="2"/>
    <n v="21"/>
    <n v="19"/>
    <n v="6.7"/>
    <n v="1"/>
    <n v="7"/>
    <n v="2"/>
    <n v="5"/>
    <x v="0"/>
    <x v="2"/>
    <n v="1"/>
    <n v="0.90476190476190399"/>
    <n v="1"/>
    <n v="4.9050000000000002"/>
    <n v="8.63556338028169"/>
    <n v="-3.375"/>
    <n v="8.3255319148936096"/>
  </r>
  <r>
    <s v="T0446"/>
    <x v="7"/>
    <d v="2025-01-08T00:00:00"/>
    <s v="Wednesday"/>
    <d v="1899-12-30T14:00:00"/>
    <x v="8"/>
    <n v="46"/>
    <n v="41"/>
    <n v="11.6"/>
    <n v="21"/>
    <s v="West"/>
    <n v="0"/>
    <x v="0"/>
    <n v="34"/>
    <n v="32"/>
    <n v="2.4"/>
    <n v="0"/>
    <n v="14"/>
    <n v="1"/>
    <n v="2"/>
    <x v="1"/>
    <x v="0"/>
    <n v="0"/>
    <n v="0.94117647058823495"/>
    <n v="0"/>
    <n v="2.1904761904761898"/>
    <n v="3.9655172413793101"/>
    <n v="5"/>
    <n v="2.80217391304347"/>
  </r>
  <r>
    <s v="T0344"/>
    <x v="6"/>
    <d v="2025-02-25T00:00:00"/>
    <s v="Tuesday"/>
    <d v="1899-12-30T13:30:00"/>
    <x v="1"/>
    <n v="45"/>
    <n v="45"/>
    <n v="6.8"/>
    <n v="12"/>
    <s v="South"/>
    <n v="0"/>
    <x v="0"/>
    <n v="25"/>
    <n v="24"/>
    <n v="4.3"/>
    <n v="0"/>
    <n v="13"/>
    <n v="2"/>
    <n v="1"/>
    <x v="1"/>
    <x v="0"/>
    <n v="0"/>
    <n v="0.96"/>
    <n v="0"/>
    <n v="3.75"/>
    <n v="6.6176470588235299"/>
    <n v="0"/>
    <n v="2.7611111111111102"/>
  </r>
  <r>
    <s v="T0403"/>
    <x v="2"/>
    <d v="2025-01-30T00:00:00"/>
    <s v="Thursday"/>
    <d v="1899-12-30T07:00:00"/>
    <x v="1"/>
    <n v="121"/>
    <n v="104"/>
    <n v="18.399999999999999"/>
    <n v="32"/>
    <s v="East"/>
    <n v="0"/>
    <x v="0"/>
    <n v="37"/>
    <n v="32"/>
    <n v="9.8000000000000007"/>
    <n v="0"/>
    <n v="7"/>
    <n v="1"/>
    <n v="3"/>
    <x v="1"/>
    <x v="2"/>
    <n v="0"/>
    <n v="0.86486486486486402"/>
    <n v="1"/>
    <n v="3.78125"/>
    <n v="6.5760869565217304"/>
    <n v="17"/>
    <n v="8.6013888888888896"/>
  </r>
  <r>
    <s v="T0098"/>
    <x v="6"/>
    <d v="2025-01-01T00:00:00"/>
    <s v="Wednesday"/>
    <d v="1899-12-30T13:00:00"/>
    <x v="1"/>
    <n v="32"/>
    <n v="30"/>
    <n v="6.8"/>
    <n v="12"/>
    <s v="South"/>
    <n v="1"/>
    <x v="0"/>
    <n v="33"/>
    <n v="31"/>
    <n v="3.6"/>
    <n v="0"/>
    <n v="13"/>
    <n v="1"/>
    <n v="2"/>
    <x v="1"/>
    <x v="0"/>
    <n v="0"/>
    <n v="0.939393939393939"/>
    <n v="0"/>
    <n v="2.6666666666666599"/>
    <n v="4.7058823529411704"/>
    <n v="2"/>
    <n v="2.7611111111111102"/>
  </r>
  <r>
    <s v="T0126"/>
    <x v="6"/>
    <d v="2025-01-15T00:00:00"/>
    <s v="Wednesday"/>
    <d v="1899-12-30T20:15:00"/>
    <x v="16"/>
    <n v="28"/>
    <n v="27"/>
    <n v="6.8"/>
    <n v="12"/>
    <s v="South"/>
    <n v="0"/>
    <x v="0"/>
    <n v="39"/>
    <n v="37"/>
    <n v="2.8"/>
    <n v="0"/>
    <n v="20"/>
    <n v="1"/>
    <n v="2"/>
    <x v="1"/>
    <x v="0"/>
    <n v="0"/>
    <n v="0.94871794871794801"/>
    <n v="0"/>
    <n v="2.3333333333333299"/>
    <n v="4.1176470588235299"/>
    <n v="1"/>
    <n v="2.7611111111111102"/>
  </r>
  <r>
    <s v="T0062"/>
    <x v="3"/>
    <d v="2025-02-22T00:00:00"/>
    <s v="Saturday"/>
    <d v="1899-12-30T19:30:00"/>
    <x v="11"/>
    <n v="66"/>
    <n v="64"/>
    <n v="8.1999999999999993"/>
    <n v="15"/>
    <s v="Central"/>
    <n v="0"/>
    <x v="2"/>
    <n v="39"/>
    <n v="37"/>
    <n v="5.7"/>
    <n v="0"/>
    <n v="19"/>
    <n v="2"/>
    <n v="5"/>
    <x v="0"/>
    <x v="1"/>
    <n v="1"/>
    <n v="0.94871794871794801"/>
    <n v="1"/>
    <n v="4.4000000000000004"/>
    <n v="8.0487804878048692"/>
    <n v="2"/>
    <n v="3.6937500000000001"/>
  </r>
  <r>
    <s v="T0082"/>
    <x v="0"/>
    <d v="2025-02-09T00:00:00"/>
    <s v="Sunday"/>
    <d v="1899-12-30T09:15:00"/>
    <x v="18"/>
    <n v="49"/>
    <n v="45"/>
    <n v="10.1"/>
    <n v="19"/>
    <s v="West"/>
    <n v="0"/>
    <x v="0"/>
    <n v="31"/>
    <n v="30"/>
    <n v="7.8"/>
    <n v="0"/>
    <n v="9"/>
    <n v="2"/>
    <n v="6"/>
    <x v="0"/>
    <x v="2"/>
    <n v="0"/>
    <n v="0.967741935483871"/>
    <n v="1"/>
    <n v="2.57894736842105"/>
    <n v="4.8514851485148496"/>
    <n v="4"/>
    <n v="3.6613636363636299"/>
  </r>
  <r>
    <s v="T0169"/>
    <x v="5"/>
    <d v="2025-01-31T00:00:00"/>
    <s v="Friday"/>
    <d v="1899-12-30T16:00:00"/>
    <x v="13"/>
    <n v="35"/>
    <n v="34"/>
    <n v="12.5"/>
    <n v="22"/>
    <s v="Central"/>
    <n v="0"/>
    <x v="0"/>
    <n v="26"/>
    <n v="25"/>
    <n v="2.2000000000000002"/>
    <n v="0"/>
    <n v="16"/>
    <n v="1"/>
    <n v="4"/>
    <x v="1"/>
    <x v="0"/>
    <n v="0"/>
    <n v="0.96153846153846101"/>
    <n v="0"/>
    <n v="1.5909090909090899"/>
    <n v="2.8"/>
    <n v="1"/>
    <n v="3.4760869565217298"/>
  </r>
  <r>
    <s v="T0325"/>
    <x v="7"/>
    <d v="2025-01-03T00:00:00"/>
    <s v="Friday"/>
    <d v="1899-12-30T08:30:00"/>
    <x v="18"/>
    <n v="75"/>
    <n v="67"/>
    <n v="11.6"/>
    <n v="21"/>
    <s v="West"/>
    <n v="0"/>
    <x v="0"/>
    <n v="35"/>
    <n v="34"/>
    <n v="4.5999999999999996"/>
    <n v="0"/>
    <n v="8"/>
    <n v="1"/>
    <n v="4"/>
    <x v="1"/>
    <x v="2"/>
    <n v="0"/>
    <n v="0.97142857142857097"/>
    <n v="0"/>
    <n v="3.5714285714285698"/>
    <n v="6.4655172413793096"/>
    <n v="8"/>
    <n v="2.80217391304347"/>
  </r>
  <r>
    <s v="T0386"/>
    <x v="4"/>
    <d v="2025-02-13T00:00:00"/>
    <s v="Thursday"/>
    <d v="1899-12-30T19:00:00"/>
    <x v="5"/>
    <n v="97"/>
    <n v="91"/>
    <n v="14.2"/>
    <n v="25"/>
    <s v="East"/>
    <n v="0"/>
    <x v="0"/>
    <n v="27"/>
    <n v="24"/>
    <n v="6.7"/>
    <n v="0"/>
    <n v="19"/>
    <n v="2"/>
    <n v="3"/>
    <x v="1"/>
    <x v="1"/>
    <n v="0"/>
    <n v="0.88888888888888795"/>
    <n v="1"/>
    <n v="3.88"/>
    <n v="6.83098591549295"/>
    <n v="6"/>
    <n v="8.3255319148936096"/>
  </r>
  <r>
    <s v="T0057"/>
    <x v="5"/>
    <d v="2025-01-05T00:00:00"/>
    <s v="Sunday"/>
    <d v="1899-12-30T11:15:00"/>
    <x v="18"/>
    <n v="22"/>
    <n v="21"/>
    <n v="12.5"/>
    <n v="22"/>
    <s v="Central"/>
    <n v="0"/>
    <x v="0"/>
    <n v="19"/>
    <n v="18"/>
    <n v="4.4000000000000004"/>
    <n v="0"/>
    <n v="11"/>
    <n v="1"/>
    <n v="6"/>
    <x v="0"/>
    <x v="0"/>
    <n v="0"/>
    <n v="0.94736842105263097"/>
    <n v="0"/>
    <n v="1"/>
    <n v="1.76"/>
    <n v="1"/>
    <n v="3.4760869565217298"/>
  </r>
  <r>
    <s v="T0020"/>
    <x v="9"/>
    <d v="2025-01-02T00:00:00"/>
    <s v="Thursday"/>
    <d v="1899-12-30T08:00:00"/>
    <x v="0"/>
    <n v="97"/>
    <n v="91"/>
    <n v="15"/>
    <n v="28"/>
    <s v="North"/>
    <n v="0"/>
    <x v="0"/>
    <n v="21"/>
    <n v="18"/>
    <n v="7.9"/>
    <n v="0"/>
    <n v="8"/>
    <n v="1"/>
    <n v="3"/>
    <x v="1"/>
    <x v="2"/>
    <n v="0"/>
    <n v="0.85714285714285698"/>
    <n v="1"/>
    <n v="3.46428571428571"/>
    <n v="6.4666666666666597"/>
    <n v="6"/>
    <n v="9.4749999999999996"/>
  </r>
  <r>
    <s v="T0087"/>
    <x v="1"/>
    <d v="2025-01-08T00:00:00"/>
    <s v="Wednesday"/>
    <d v="1899-12-30T09:30:00"/>
    <x v="2"/>
    <n v="63"/>
    <n v="63"/>
    <n v="9.5"/>
    <n v="17"/>
    <s v="North"/>
    <n v="0"/>
    <x v="0"/>
    <n v="24"/>
    <n v="24"/>
    <n v="5.9"/>
    <n v="0"/>
    <n v="9"/>
    <n v="1"/>
    <n v="2"/>
    <x v="1"/>
    <x v="2"/>
    <n v="0"/>
    <n v="1"/>
    <n v="1"/>
    <n v="3.70588235294117"/>
    <n v="6.6315789473684204"/>
    <n v="0"/>
    <n v="3.8470588235294101"/>
  </r>
  <r>
    <s v="T0327"/>
    <x v="2"/>
    <d v="2025-01-31T00:00:00"/>
    <s v="Friday"/>
    <d v="1899-12-30T07:45:00"/>
    <x v="7"/>
    <n v="116"/>
    <n v="102"/>
    <n v="18.399999999999999"/>
    <n v="32"/>
    <s v="East"/>
    <n v="0"/>
    <x v="0"/>
    <n v="23"/>
    <n v="21"/>
    <n v="11.4"/>
    <n v="0"/>
    <n v="7"/>
    <n v="1"/>
    <n v="4"/>
    <x v="1"/>
    <x v="2"/>
    <n v="0"/>
    <n v="0.91304347826086896"/>
    <n v="1"/>
    <n v="3.625"/>
    <n v="6.3043478260869499"/>
    <n v="14"/>
    <n v="8.6013888888888896"/>
  </r>
  <r>
    <s v="T0247"/>
    <x v="6"/>
    <d v="2025-02-16T00:00:00"/>
    <s v="Sunday"/>
    <d v="1899-12-30T06:15:00"/>
    <x v="2"/>
    <n v="25"/>
    <n v="23"/>
    <n v="6.8"/>
    <n v="12"/>
    <s v="South"/>
    <n v="0"/>
    <x v="0"/>
    <n v="26"/>
    <n v="26"/>
    <n v="1.8"/>
    <n v="0"/>
    <n v="6"/>
    <n v="2"/>
    <n v="6"/>
    <x v="0"/>
    <x v="0"/>
    <n v="0"/>
    <n v="1"/>
    <n v="0"/>
    <n v="2.0833333333333299"/>
    <n v="3.6764705882352899"/>
    <n v="2"/>
    <n v="2.7611111111111102"/>
  </r>
  <r>
    <s v="T0138"/>
    <x v="1"/>
    <d v="2025-02-24T00:00:00"/>
    <s v="Monday"/>
    <d v="1899-12-30T16:15:00"/>
    <x v="1"/>
    <n v="39"/>
    <n v="36"/>
    <n v="9.5"/>
    <n v="17"/>
    <s v="North"/>
    <n v="0"/>
    <x v="0"/>
    <n v="23"/>
    <n v="22"/>
    <n v="1.1000000000000001"/>
    <n v="0"/>
    <n v="16"/>
    <n v="2"/>
    <n v="0"/>
    <x v="1"/>
    <x v="0"/>
    <n v="0"/>
    <n v="0.95652173913043403"/>
    <n v="0"/>
    <n v="2.2941176470588198"/>
    <n v="4.1052631578947301"/>
    <n v="3"/>
    <n v="3.8470588235294101"/>
  </r>
  <r>
    <s v="T0317"/>
    <x v="9"/>
    <d v="2025-01-30T00:00:00"/>
    <s v="Thursday"/>
    <d v="1899-12-30T18:30:00"/>
    <x v="11"/>
    <n v="97"/>
    <n v="94"/>
    <n v="15"/>
    <n v="28"/>
    <s v="North"/>
    <n v="0"/>
    <x v="0"/>
    <n v="34"/>
    <n v="29"/>
    <n v="9.1"/>
    <n v="1"/>
    <n v="18"/>
    <n v="1"/>
    <n v="3"/>
    <x v="1"/>
    <x v="1"/>
    <n v="0"/>
    <n v="0.85294117647058798"/>
    <n v="1"/>
    <n v="3.46428571428571"/>
    <n v="6.4666666666666597"/>
    <n v="3"/>
    <n v="9.4749999999999996"/>
  </r>
  <r>
    <s v="T0035"/>
    <x v="7"/>
    <d v="2025-02-16T00:00:00"/>
    <s v="Sunday"/>
    <d v="1899-12-30T16:00:00"/>
    <x v="3"/>
    <n v="36"/>
    <n v="35"/>
    <n v="11.6"/>
    <n v="21"/>
    <s v="West"/>
    <n v="0"/>
    <x v="0"/>
    <n v="19"/>
    <n v="19"/>
    <n v="2.2000000000000002"/>
    <n v="0"/>
    <n v="16"/>
    <n v="2"/>
    <n v="6"/>
    <x v="0"/>
    <x v="0"/>
    <n v="0"/>
    <n v="1"/>
    <n v="0"/>
    <n v="1.71428571428571"/>
    <n v="3.1034482758620601"/>
    <n v="1"/>
    <n v="2.80217391304347"/>
  </r>
  <r>
    <s v="T0297"/>
    <x v="1"/>
    <d v="2025-01-06T00:00:00"/>
    <s v="Monday"/>
    <d v="1899-12-30T09:15:00"/>
    <x v="13"/>
    <n v="61"/>
    <n v="60"/>
    <n v="9.5"/>
    <n v="17"/>
    <s v="North"/>
    <n v="0"/>
    <x v="0"/>
    <n v="27"/>
    <n v="26"/>
    <n v="0.1"/>
    <n v="0"/>
    <n v="9"/>
    <n v="1"/>
    <n v="0"/>
    <x v="1"/>
    <x v="2"/>
    <n v="0"/>
    <n v="0.96296296296296202"/>
    <n v="0"/>
    <n v="3.5882352941176401"/>
    <n v="6.4210526315789398"/>
    <n v="1"/>
    <n v="3.8470588235294101"/>
  </r>
  <r>
    <s v="T0139"/>
    <x v="9"/>
    <d v="2025-02-11T00:00:00"/>
    <s v="Tuesday"/>
    <d v="1899-12-30T19:30:00"/>
    <x v="20"/>
    <n v="115"/>
    <n v="112"/>
    <n v="15"/>
    <n v="28"/>
    <s v="North"/>
    <n v="0"/>
    <x v="0"/>
    <n v="26"/>
    <n v="25"/>
    <n v="6.4"/>
    <n v="0"/>
    <n v="19"/>
    <n v="2"/>
    <n v="1"/>
    <x v="1"/>
    <x v="1"/>
    <n v="0"/>
    <n v="0.96153846153846101"/>
    <n v="1"/>
    <n v="4.1071428571428497"/>
    <n v="7.6666666666666599"/>
    <n v="3"/>
    <n v="9.4749999999999996"/>
  </r>
  <r>
    <s v="T0255"/>
    <x v="3"/>
    <d v="2025-02-27T00:00:00"/>
    <s v="Thursday"/>
    <d v="1899-12-30T08:45:00"/>
    <x v="0"/>
    <n v="74"/>
    <n v="66"/>
    <n v="8.1999999999999993"/>
    <n v="15"/>
    <s v="Central"/>
    <n v="0"/>
    <x v="0"/>
    <n v="21"/>
    <n v="20"/>
    <n v="5"/>
    <n v="0"/>
    <n v="8"/>
    <n v="2"/>
    <n v="3"/>
    <x v="1"/>
    <x v="2"/>
    <n v="0"/>
    <n v="0.952380952380952"/>
    <n v="0"/>
    <n v="4.93333333333333"/>
    <n v="9.0243902439024399"/>
    <n v="8"/>
    <n v="3.6937500000000001"/>
  </r>
  <r>
    <s v="T0077"/>
    <x v="4"/>
    <d v="2025-02-14T00:00:00"/>
    <s v="Friday"/>
    <d v="1899-12-30T13:45:00"/>
    <x v="2"/>
    <n v="49"/>
    <n v="47"/>
    <n v="14.2"/>
    <n v="25"/>
    <s v="East"/>
    <n v="0"/>
    <x v="0"/>
    <n v="26"/>
    <n v="23"/>
    <n v="6.4"/>
    <n v="0"/>
    <n v="13"/>
    <n v="2"/>
    <n v="4"/>
    <x v="1"/>
    <x v="0"/>
    <n v="0"/>
    <n v="0.88461538461538403"/>
    <n v="1"/>
    <n v="1.96"/>
    <n v="3.4507042253521099"/>
    <n v="2"/>
    <n v="8.3255319148936096"/>
  </r>
  <r>
    <s v="T0449"/>
    <x v="9"/>
    <d v="2025-01-14T00:00:00"/>
    <s v="Tuesday"/>
    <d v="1899-12-30T17:30:00"/>
    <x v="10"/>
    <n v="109"/>
    <n v="101"/>
    <n v="15"/>
    <n v="28"/>
    <s v="North"/>
    <n v="1"/>
    <x v="0"/>
    <n v="26"/>
    <n v="22"/>
    <n v="2.5"/>
    <n v="0"/>
    <n v="17"/>
    <n v="1"/>
    <n v="1"/>
    <x v="1"/>
    <x v="1"/>
    <n v="0"/>
    <n v="0.84615384615384603"/>
    <n v="0"/>
    <n v="3.8928571428571401"/>
    <n v="7.2666666666666604"/>
    <n v="8"/>
    <n v="9.4749999999999996"/>
  </r>
  <r>
    <s v="T0027"/>
    <x v="3"/>
    <d v="2025-01-05T00:00:00"/>
    <s v="Sunday"/>
    <d v="1899-12-30T08:45:00"/>
    <x v="3"/>
    <n v="52"/>
    <n v="47"/>
    <n v="8.1999999999999993"/>
    <n v="15"/>
    <s v="Central"/>
    <n v="0"/>
    <x v="0"/>
    <n v="25"/>
    <n v="25"/>
    <n v="0.5"/>
    <n v="0"/>
    <n v="8"/>
    <n v="1"/>
    <n v="6"/>
    <x v="0"/>
    <x v="2"/>
    <n v="0"/>
    <n v="1"/>
    <n v="0"/>
    <n v="3.4666666666666601"/>
    <n v="6.3414634146341404"/>
    <n v="5"/>
    <n v="3.6937500000000001"/>
  </r>
  <r>
    <s v="T0289"/>
    <x v="9"/>
    <d v="2025-01-08T00:00:00"/>
    <s v="Wednesday"/>
    <d v="1899-12-30T06:45:00"/>
    <x v="20"/>
    <n v="66"/>
    <n v="61"/>
    <n v="15"/>
    <n v="28"/>
    <s v="North"/>
    <n v="0"/>
    <x v="0"/>
    <n v="26"/>
    <n v="21"/>
    <n v="13.8"/>
    <n v="0"/>
    <n v="6"/>
    <n v="1"/>
    <n v="2"/>
    <x v="1"/>
    <x v="0"/>
    <n v="0"/>
    <n v="0.80769230769230704"/>
    <n v="1"/>
    <n v="2.3571428571428501"/>
    <n v="4.4000000000000004"/>
    <n v="5"/>
    <n v="9.4749999999999996"/>
  </r>
  <r>
    <s v="T0044"/>
    <x v="8"/>
    <d v="2025-02-18T00:00:00"/>
    <s v="Tuesday"/>
    <d v="1899-12-30T07:45:00"/>
    <x v="21"/>
    <n v="72"/>
    <n v="69"/>
    <n v="7.3"/>
    <n v="13"/>
    <s v="South"/>
    <n v="0"/>
    <x v="0"/>
    <n v="27"/>
    <n v="26"/>
    <n v="1"/>
    <n v="0"/>
    <n v="7"/>
    <n v="2"/>
    <n v="1"/>
    <x v="1"/>
    <x v="2"/>
    <n v="0"/>
    <n v="0.96296296296296202"/>
    <n v="0"/>
    <n v="5.5384615384615303"/>
    <n v="9.8630136986301302"/>
    <n v="3"/>
    <n v="4.0518518518518496"/>
  </r>
  <r>
    <s v="T0097"/>
    <x v="2"/>
    <d v="2025-01-12T00:00:00"/>
    <s v="Sunday"/>
    <d v="1899-12-30T13:30:00"/>
    <x v="10"/>
    <n v="43"/>
    <n v="42"/>
    <n v="18.399999999999999"/>
    <n v="32"/>
    <s v="East"/>
    <n v="0"/>
    <x v="0"/>
    <n v="21"/>
    <n v="17"/>
    <n v="3.1"/>
    <n v="0"/>
    <n v="13"/>
    <n v="1"/>
    <n v="6"/>
    <x v="0"/>
    <x v="0"/>
    <n v="0"/>
    <n v="0.80952380952380898"/>
    <n v="0"/>
    <n v="1.34375"/>
    <n v="2.3369565217391299"/>
    <n v="1"/>
    <n v="8.6013888888888896"/>
  </r>
  <r>
    <s v="T0084"/>
    <x v="5"/>
    <d v="2025-02-03T00:00:00"/>
    <s v="Monday"/>
    <d v="1899-12-30T11:30:00"/>
    <x v="17"/>
    <n v="43"/>
    <n v="41"/>
    <n v="12.5"/>
    <n v="22"/>
    <s v="Central"/>
    <n v="0"/>
    <x v="0"/>
    <n v="30"/>
    <n v="30"/>
    <n v="0.3"/>
    <n v="0"/>
    <n v="11"/>
    <n v="2"/>
    <n v="0"/>
    <x v="1"/>
    <x v="0"/>
    <n v="0"/>
    <n v="1"/>
    <n v="0"/>
    <n v="1.9545454545454499"/>
    <n v="3.44"/>
    <n v="2"/>
    <n v="3.4760869565217298"/>
  </r>
  <r>
    <s v="T0253"/>
    <x v="4"/>
    <d v="2025-02-14T00:00:00"/>
    <s v="Friday"/>
    <d v="1899-12-30T07:00:00"/>
    <x v="5"/>
    <n v="93"/>
    <n v="83"/>
    <n v="14.2"/>
    <n v="25"/>
    <s v="East"/>
    <n v="0"/>
    <x v="0"/>
    <n v="26"/>
    <n v="23"/>
    <n v="6.4"/>
    <n v="0"/>
    <n v="7"/>
    <n v="2"/>
    <n v="4"/>
    <x v="1"/>
    <x v="2"/>
    <n v="0"/>
    <n v="0.88461538461538403"/>
    <n v="1"/>
    <n v="3.72"/>
    <n v="6.5492957746478799"/>
    <n v="10"/>
    <n v="8.3255319148936096"/>
  </r>
  <r>
    <s v="T0367"/>
    <x v="7"/>
    <d v="2025-02-16T00:00:00"/>
    <s v="Sunday"/>
    <d v="1899-12-30T07:15:00"/>
    <x v="5"/>
    <n v="45"/>
    <n v="42"/>
    <n v="11.6"/>
    <n v="21"/>
    <s v="West"/>
    <n v="0"/>
    <x v="0"/>
    <n v="19"/>
    <n v="19"/>
    <n v="2.2000000000000002"/>
    <n v="0"/>
    <n v="7"/>
    <n v="2"/>
    <n v="6"/>
    <x v="0"/>
    <x v="2"/>
    <n v="0"/>
    <n v="1"/>
    <n v="0"/>
    <n v="2.1428571428571401"/>
    <n v="3.8793103448275801"/>
    <n v="3"/>
    <n v="2.80217391304347"/>
  </r>
  <r>
    <s v="T0362"/>
    <x v="0"/>
    <d v="2025-01-20T00:00:00"/>
    <s v="Monday"/>
    <d v="1899-12-30T05:15:00"/>
    <x v="15"/>
    <n v="35"/>
    <n v="31"/>
    <n v="10.1"/>
    <n v="19"/>
    <s v="West"/>
    <n v="0"/>
    <x v="0"/>
    <n v="34"/>
    <n v="33"/>
    <n v="3.3"/>
    <n v="0"/>
    <n v="5"/>
    <n v="1"/>
    <n v="0"/>
    <x v="1"/>
    <x v="0"/>
    <n v="0"/>
    <n v="0.97058823529411697"/>
    <n v="0"/>
    <n v="1.84210526315789"/>
    <n v="3.46534653465346"/>
    <n v="4"/>
    <n v="3.6613636363636299"/>
  </r>
  <r>
    <s v="T0186"/>
    <x v="0"/>
    <d v="2025-02-27T00:00:00"/>
    <s v="Thursday"/>
    <d v="1899-12-30T15:15:00"/>
    <x v="10"/>
    <n v="50"/>
    <n v="44"/>
    <n v="10.1"/>
    <n v="19"/>
    <s v="West"/>
    <n v="0"/>
    <x v="0"/>
    <n v="30"/>
    <n v="30"/>
    <n v="3.9"/>
    <n v="0"/>
    <n v="15"/>
    <n v="2"/>
    <n v="3"/>
    <x v="1"/>
    <x v="0"/>
    <n v="0"/>
    <n v="1"/>
    <n v="0"/>
    <n v="2.6315789473684199"/>
    <n v="4.9504950495049496"/>
    <n v="6"/>
    <n v="3.6613636363636299"/>
  </r>
  <r>
    <s v="T0074"/>
    <x v="4"/>
    <d v="2025-02-15T00:00:00"/>
    <s v="Saturday"/>
    <d v="1899-12-30T08:15:00"/>
    <x v="15"/>
    <n v="105"/>
    <n v="98"/>
    <n v="14.2"/>
    <n v="25"/>
    <s v="East"/>
    <n v="0"/>
    <x v="3"/>
    <n v="30"/>
    <n v="27"/>
    <n v="11.1"/>
    <n v="0"/>
    <n v="8"/>
    <n v="2"/>
    <n v="5"/>
    <x v="0"/>
    <x v="2"/>
    <n v="1"/>
    <n v="0.9"/>
    <n v="1"/>
    <n v="4.2"/>
    <n v="7.3943661971830901"/>
    <n v="7"/>
    <n v="8.3255319148936096"/>
  </r>
  <r>
    <s v="T0374"/>
    <x v="0"/>
    <d v="2025-02-05T00:00:00"/>
    <s v="Wednesday"/>
    <d v="1899-12-30T15:45:00"/>
    <x v="12"/>
    <n v="50"/>
    <n v="47"/>
    <n v="10.1"/>
    <n v="19"/>
    <s v="West"/>
    <n v="0"/>
    <x v="0"/>
    <n v="21"/>
    <n v="20"/>
    <n v="1.6"/>
    <n v="0"/>
    <n v="15"/>
    <n v="2"/>
    <n v="2"/>
    <x v="1"/>
    <x v="0"/>
    <n v="0"/>
    <n v="0.952380952380952"/>
    <n v="0"/>
    <n v="2.6315789473684199"/>
    <n v="4.9504950495049496"/>
    <n v="3"/>
    <n v="3.6613636363636299"/>
  </r>
  <r>
    <s v="T0249"/>
    <x v="7"/>
    <d v="2025-02-15T00:00:00"/>
    <s v="Saturday"/>
    <d v="1899-12-30T22:15:00"/>
    <x v="0"/>
    <n v="37"/>
    <n v="34"/>
    <n v="11.6"/>
    <n v="21"/>
    <s v="West"/>
    <n v="0"/>
    <x v="3"/>
    <n v="20"/>
    <n v="19"/>
    <n v="3.9"/>
    <n v="0"/>
    <n v="22"/>
    <n v="2"/>
    <n v="5"/>
    <x v="0"/>
    <x v="0"/>
    <n v="1"/>
    <n v="0.95"/>
    <n v="0"/>
    <n v="1.7619047619047601"/>
    <n v="3.18965517241379"/>
    <n v="3"/>
    <n v="2.80217391304347"/>
  </r>
  <r>
    <s v="T0407"/>
    <x v="9"/>
    <d v="2025-03-01T00:00:00"/>
    <s v="Saturday"/>
    <d v="1899-12-30T10:30:00"/>
    <x v="1"/>
    <n v="29"/>
    <n v="27"/>
    <n v="15"/>
    <n v="28"/>
    <s v="North"/>
    <n v="0"/>
    <x v="0"/>
    <n v="21"/>
    <n v="20"/>
    <n v="10.6"/>
    <n v="0"/>
    <n v="10"/>
    <n v="3"/>
    <n v="5"/>
    <x v="0"/>
    <x v="0"/>
    <n v="0"/>
    <n v="0.952380952380952"/>
    <n v="1"/>
    <n v="1.03571428571428"/>
    <n v="1.93333333333333"/>
    <n v="2"/>
    <n v="9.4749999999999996"/>
  </r>
  <r>
    <s v="T0402"/>
    <x v="8"/>
    <d v="2025-02-04T00:00:00"/>
    <s v="Tuesday"/>
    <d v="1899-12-30T08:45:00"/>
    <x v="1"/>
    <n v="63"/>
    <n v="57"/>
    <n v="7.3"/>
    <n v="13"/>
    <s v="South"/>
    <n v="0"/>
    <x v="0"/>
    <n v="30"/>
    <n v="30"/>
    <n v="3.1"/>
    <n v="0"/>
    <n v="8"/>
    <n v="2"/>
    <n v="1"/>
    <x v="1"/>
    <x v="2"/>
    <n v="0"/>
    <n v="1"/>
    <n v="0"/>
    <n v="4.8461538461538396"/>
    <n v="8.6301369863013697"/>
    <n v="6"/>
    <n v="4.0518518518518496"/>
  </r>
  <r>
    <s v="T0248"/>
    <x v="7"/>
    <d v="2025-01-23T00:00:00"/>
    <s v="Thursday"/>
    <d v="1899-12-30T15:30:00"/>
    <x v="3"/>
    <n v="51"/>
    <n v="44"/>
    <n v="11.6"/>
    <n v="21"/>
    <s v="West"/>
    <n v="0"/>
    <x v="0"/>
    <n v="37"/>
    <n v="36"/>
    <n v="7.2"/>
    <n v="0"/>
    <n v="15"/>
    <n v="1"/>
    <n v="3"/>
    <x v="1"/>
    <x v="0"/>
    <n v="0"/>
    <n v="0.97297297297297303"/>
    <n v="1"/>
    <n v="2.4285714285714199"/>
    <n v="4.3965517241379297"/>
    <n v="7"/>
    <n v="2.80217391304347"/>
  </r>
  <r>
    <s v="T0393"/>
    <x v="9"/>
    <d v="2025-02-06T00:00:00"/>
    <s v="Thursday"/>
    <d v="1899-12-30T18:15:00"/>
    <x v="13"/>
    <n v="103"/>
    <n v="90"/>
    <n v="15"/>
    <n v="28"/>
    <s v="North"/>
    <n v="0"/>
    <x v="0"/>
    <n v="34"/>
    <n v="32"/>
    <n v="10.3"/>
    <n v="0"/>
    <n v="18"/>
    <n v="2"/>
    <n v="3"/>
    <x v="1"/>
    <x v="1"/>
    <n v="0"/>
    <n v="0.94117647058823495"/>
    <n v="1"/>
    <n v="3.6785714285714199"/>
    <n v="6.86666666666666"/>
    <n v="13"/>
    <n v="9.4749999999999996"/>
  </r>
  <r>
    <s v="T0234"/>
    <x v="2"/>
    <d v="2025-01-28T00:00:00"/>
    <s v="Tuesday"/>
    <d v="1899-12-30T07:00:00"/>
    <x v="7"/>
    <n v="86"/>
    <n v="78"/>
    <n v="18.399999999999999"/>
    <n v="32"/>
    <s v="East"/>
    <n v="0"/>
    <x v="0"/>
    <n v="31"/>
    <n v="28"/>
    <n v="3.8"/>
    <n v="0"/>
    <n v="7"/>
    <n v="1"/>
    <n v="1"/>
    <x v="1"/>
    <x v="2"/>
    <n v="0"/>
    <n v="0.90322580645161199"/>
    <n v="0"/>
    <n v="2.6875"/>
    <n v="4.6739130434782599"/>
    <n v="8"/>
    <n v="8.6013888888888896"/>
  </r>
  <r>
    <s v="T0272"/>
    <x v="4"/>
    <d v="2025-01-25T00:00:00"/>
    <s v="Saturday"/>
    <d v="1899-12-30T15:00:00"/>
    <x v="7"/>
    <n v="36"/>
    <n v="31"/>
    <n v="14.2"/>
    <n v="25"/>
    <s v="East"/>
    <n v="0"/>
    <x v="2"/>
    <n v="39"/>
    <n v="32"/>
    <n v="10.199999999999999"/>
    <n v="0"/>
    <n v="15"/>
    <n v="1"/>
    <n v="5"/>
    <x v="0"/>
    <x v="0"/>
    <n v="1"/>
    <n v="0.82051282051282004"/>
    <n v="1"/>
    <n v="1.44"/>
    <n v="2.53521126760563"/>
    <n v="5"/>
    <n v="8.3255319148936096"/>
  </r>
  <r>
    <s v="T0435"/>
    <x v="5"/>
    <d v="2025-01-19T00:00:00"/>
    <s v="Sunday"/>
    <d v="1899-12-30T06:00:00"/>
    <x v="1"/>
    <n v="29"/>
    <n v="25"/>
    <n v="12.5"/>
    <n v="22"/>
    <s v="Central"/>
    <n v="0"/>
    <x v="0"/>
    <n v="29"/>
    <n v="27"/>
    <n v="2.7"/>
    <n v="1"/>
    <n v="6"/>
    <n v="1"/>
    <n v="6"/>
    <x v="0"/>
    <x v="0"/>
    <n v="0"/>
    <n v="0.93103448275862"/>
    <n v="0"/>
    <n v="1.3181818181818099"/>
    <n v="2.3199999999999998"/>
    <n v="4"/>
    <n v="3.4760869565217298"/>
  </r>
  <r>
    <s v="T0137"/>
    <x v="2"/>
    <d v="2025-01-30T00:00:00"/>
    <s v="Thursday"/>
    <d v="1899-12-30T15:45:00"/>
    <x v="1"/>
    <n v="50"/>
    <n v="45"/>
    <n v="18.399999999999999"/>
    <n v="32"/>
    <s v="East"/>
    <n v="0"/>
    <x v="0"/>
    <n v="37"/>
    <n v="32"/>
    <n v="9.8000000000000007"/>
    <n v="0"/>
    <n v="15"/>
    <n v="1"/>
    <n v="3"/>
    <x v="1"/>
    <x v="0"/>
    <n v="0"/>
    <n v="0.86486486486486402"/>
    <n v="1"/>
    <n v="1.5625"/>
    <n v="2.7173913043478199"/>
    <n v="5"/>
    <n v="8.6013888888888896"/>
  </r>
  <r>
    <s v="T0431"/>
    <x v="5"/>
    <d v="2025-02-04T00:00:00"/>
    <s v="Tuesday"/>
    <d v="1899-12-30T12:30:00"/>
    <x v="1"/>
    <n v="42"/>
    <n v="40"/>
    <n v="12.5"/>
    <n v="22"/>
    <s v="Central"/>
    <n v="0"/>
    <x v="0"/>
    <n v="22"/>
    <n v="20"/>
    <n v="6"/>
    <n v="0"/>
    <n v="12"/>
    <n v="2"/>
    <n v="1"/>
    <x v="1"/>
    <x v="0"/>
    <n v="0"/>
    <n v="0.90909090909090895"/>
    <n v="1"/>
    <n v="1.9090909090909001"/>
    <n v="3.36"/>
    <n v="2"/>
    <n v="3.4760869565217298"/>
  </r>
  <r>
    <s v="T0296"/>
    <x v="2"/>
    <d v="2025-02-06T00:00:00"/>
    <s v="Thursday"/>
    <d v="1899-12-30T07:45:00"/>
    <x v="8"/>
    <n v="98"/>
    <n v="92"/>
    <n v="18.399999999999999"/>
    <n v="32"/>
    <s v="East"/>
    <n v="0"/>
    <x v="0"/>
    <n v="23"/>
    <n v="21"/>
    <n v="9.1999999999999993"/>
    <n v="0"/>
    <n v="7"/>
    <n v="2"/>
    <n v="3"/>
    <x v="1"/>
    <x v="2"/>
    <n v="0"/>
    <n v="0.91304347826086896"/>
    <n v="1"/>
    <n v="3.0625"/>
    <n v="5.3260869565217304"/>
    <n v="6"/>
    <n v="8.6013888888888896"/>
  </r>
  <r>
    <s v="T0050"/>
    <x v="3"/>
    <d v="2025-01-01T00:00:00"/>
    <s v="Wednesday"/>
    <d v="1899-12-30T15:30:00"/>
    <x v="4"/>
    <n v="50"/>
    <n v="47"/>
    <n v="8.1999999999999993"/>
    <n v="15"/>
    <s v="Central"/>
    <n v="1"/>
    <x v="0"/>
    <n v="30"/>
    <n v="29"/>
    <n v="13.6"/>
    <n v="0"/>
    <n v="15"/>
    <n v="1"/>
    <n v="2"/>
    <x v="1"/>
    <x v="0"/>
    <n v="0"/>
    <n v="0.96666666666666601"/>
    <n v="1"/>
    <n v="3.3333333333333299"/>
    <n v="6.09756097560975"/>
    <n v="3"/>
    <n v="3.6937500000000001"/>
  </r>
  <r>
    <s v="T0208"/>
    <x v="0"/>
    <d v="2025-01-27T00:00:00"/>
    <s v="Monday"/>
    <d v="1899-12-30T14:30:00"/>
    <x v="0"/>
    <n v="44"/>
    <n v="42"/>
    <n v="10.1"/>
    <n v="19"/>
    <s v="West"/>
    <n v="0"/>
    <x v="0"/>
    <n v="34"/>
    <n v="33"/>
    <n v="0.7"/>
    <n v="0"/>
    <n v="14"/>
    <n v="1"/>
    <n v="0"/>
    <x v="1"/>
    <x v="0"/>
    <n v="0"/>
    <n v="0.97058823529411697"/>
    <n v="0"/>
    <n v="2.3157894736842102"/>
    <n v="4.3564356435643496"/>
    <n v="2"/>
    <n v="3.6613636363636299"/>
  </r>
  <r>
    <s v="T0496"/>
    <x v="9"/>
    <d v="2025-01-22T00:00:00"/>
    <s v="Wednesday"/>
    <d v="1899-12-30T22:30:00"/>
    <x v="7"/>
    <n v="58"/>
    <n v="56"/>
    <n v="15"/>
    <n v="28"/>
    <s v="North"/>
    <n v="0"/>
    <x v="0"/>
    <n v="33"/>
    <n v="27"/>
    <n v="4.2"/>
    <n v="0"/>
    <n v="22"/>
    <n v="1"/>
    <n v="2"/>
    <x v="1"/>
    <x v="0"/>
    <n v="0"/>
    <n v="0.81818181818181801"/>
    <n v="0"/>
    <n v="2.0714285714285698"/>
    <n v="3.86666666666666"/>
    <n v="2"/>
    <n v="9.4749999999999996"/>
  </r>
  <r>
    <s v="T0133"/>
    <x v="5"/>
    <d v="2025-02-02T00:00:00"/>
    <s v="Sunday"/>
    <d v="1899-12-30T16:45:00"/>
    <x v="16"/>
    <n v="31"/>
    <n v="30"/>
    <n v="12.5"/>
    <n v="22"/>
    <s v="Central"/>
    <n v="0"/>
    <x v="0"/>
    <n v="22"/>
    <n v="21"/>
    <n v="2.2999999999999998"/>
    <n v="0"/>
    <n v="16"/>
    <n v="2"/>
    <n v="6"/>
    <x v="0"/>
    <x v="0"/>
    <n v="0"/>
    <n v="0.95454545454545403"/>
    <n v="0"/>
    <n v="1.4090909090909001"/>
    <n v="2.48"/>
    <n v="1"/>
    <n v="3.4760869565217298"/>
  </r>
  <r>
    <s v="T0051"/>
    <x v="7"/>
    <d v="2025-01-21T00:00:00"/>
    <s v="Tuesday"/>
    <d v="1899-12-30T10:15:00"/>
    <x v="23"/>
    <n v="43"/>
    <n v="43"/>
    <n v="11.6"/>
    <n v="21"/>
    <s v="West"/>
    <n v="0"/>
    <x v="0"/>
    <n v="22"/>
    <n v="21"/>
    <n v="0.5"/>
    <n v="0"/>
    <n v="10"/>
    <n v="1"/>
    <n v="1"/>
    <x v="1"/>
    <x v="0"/>
    <n v="0"/>
    <n v="0.95454545454545403"/>
    <n v="0"/>
    <n v="2.0476190476190399"/>
    <n v="3.7068965517241299"/>
    <n v="0"/>
    <n v="2.80217391304347"/>
  </r>
  <r>
    <s v="T0461"/>
    <x v="5"/>
    <d v="2025-02-24T00:00:00"/>
    <s v="Monday"/>
    <d v="1899-12-30T12:00:00"/>
    <x v="13"/>
    <n v="50"/>
    <n v="45"/>
    <n v="12.5"/>
    <n v="22"/>
    <s v="Central"/>
    <n v="0"/>
    <x v="0"/>
    <n v="21"/>
    <n v="20"/>
    <n v="3.5"/>
    <n v="0"/>
    <n v="12"/>
    <n v="2"/>
    <n v="0"/>
    <x v="1"/>
    <x v="0"/>
    <n v="0"/>
    <n v="0.952380952380952"/>
    <n v="0"/>
    <n v="2.2727272727272698"/>
    <n v="4"/>
    <n v="5"/>
    <n v="3.4760869565217298"/>
  </r>
  <r>
    <s v="T0239"/>
    <x v="0"/>
    <d v="2025-02-14T00:00:00"/>
    <s v="Friday"/>
    <d v="1899-12-30T16:45:00"/>
    <x v="5"/>
    <n v="49"/>
    <n v="44"/>
    <n v="10.1"/>
    <n v="19"/>
    <s v="West"/>
    <n v="0"/>
    <x v="0"/>
    <n v="29"/>
    <n v="29"/>
    <n v="3.3"/>
    <n v="1"/>
    <n v="16"/>
    <n v="2"/>
    <n v="4"/>
    <x v="1"/>
    <x v="0"/>
    <n v="0"/>
    <n v="1"/>
    <n v="0"/>
    <n v="2.57894736842105"/>
    <n v="4.8514851485148496"/>
    <n v="5"/>
    <n v="3.6613636363636299"/>
  </r>
  <r>
    <s v="T0053"/>
    <x v="7"/>
    <d v="2025-02-24T00:00:00"/>
    <s v="Monday"/>
    <d v="1899-12-30T08:15:00"/>
    <x v="15"/>
    <n v="72"/>
    <n v="67"/>
    <n v="11.6"/>
    <n v="21"/>
    <s v="West"/>
    <n v="0"/>
    <x v="0"/>
    <n v="30"/>
    <n v="29"/>
    <n v="4.5"/>
    <n v="0"/>
    <n v="8"/>
    <n v="2"/>
    <n v="0"/>
    <x v="1"/>
    <x v="2"/>
    <n v="0"/>
    <n v="0.96666666666666601"/>
    <n v="0"/>
    <n v="3.4285714285714199"/>
    <n v="6.2068965517241299"/>
    <n v="5"/>
    <n v="2.80217391304347"/>
  </r>
  <r>
    <s v="T0081"/>
    <x v="4"/>
    <d v="2025-02-18T00:00:00"/>
    <s v="Tuesday"/>
    <d v="1899-12-30T08:45:00"/>
    <x v="17"/>
    <n v="104"/>
    <n v="89"/>
    <n v="14.2"/>
    <n v="25"/>
    <s v="East"/>
    <n v="0"/>
    <x v="0"/>
    <n v="23"/>
    <n v="20"/>
    <n v="2.2999999999999998"/>
    <n v="0"/>
    <n v="8"/>
    <n v="2"/>
    <n v="1"/>
    <x v="1"/>
    <x v="2"/>
    <n v="0"/>
    <n v="0.86956521739130399"/>
    <n v="0"/>
    <n v="4.16"/>
    <n v="7.3239436619718301"/>
    <n v="15"/>
    <n v="8.3255319148936096"/>
  </r>
  <r>
    <s v="T0451"/>
    <x v="4"/>
    <d v="2025-02-20T00:00:00"/>
    <s v="Thursday"/>
    <d v="1899-12-30T08:15:00"/>
    <x v="13"/>
    <n v="88"/>
    <n v="85"/>
    <n v="14.2"/>
    <n v="25"/>
    <s v="East"/>
    <n v="0"/>
    <x v="0"/>
    <n v="20"/>
    <n v="17"/>
    <n v="6.6"/>
    <n v="0"/>
    <n v="8"/>
    <n v="2"/>
    <n v="3"/>
    <x v="1"/>
    <x v="2"/>
    <n v="0"/>
    <n v="0.85"/>
    <n v="1"/>
    <n v="3.52"/>
    <n v="6.1971830985915499"/>
    <n v="3"/>
    <n v="8.3255319148936096"/>
  </r>
  <r>
    <s v="T0122"/>
    <x v="8"/>
    <d v="2025-02-19T00:00:00"/>
    <s v="Wednesday"/>
    <d v="1899-12-30T17:30:00"/>
    <x v="7"/>
    <n v="69"/>
    <n v="69"/>
    <n v="7.3"/>
    <n v="13"/>
    <s v="South"/>
    <n v="0"/>
    <x v="0"/>
    <n v="37"/>
    <n v="36"/>
    <n v="10.4"/>
    <n v="0"/>
    <n v="17"/>
    <n v="2"/>
    <n v="2"/>
    <x v="1"/>
    <x v="1"/>
    <n v="0"/>
    <n v="0.97297297297297303"/>
    <n v="1"/>
    <n v="5.3076923076923004"/>
    <n v="9.4520547945205404"/>
    <n v="0"/>
    <n v="4.0518518518518496"/>
  </r>
  <r>
    <s v="T0212"/>
    <x v="0"/>
    <d v="2025-02-16T00:00:00"/>
    <s v="Sunday"/>
    <d v="1899-12-30T20:00:00"/>
    <x v="14"/>
    <n v="23"/>
    <n v="21"/>
    <n v="10.1"/>
    <n v="19"/>
    <s v="West"/>
    <n v="0"/>
    <x v="0"/>
    <n v="34"/>
    <n v="33"/>
    <n v="13.8"/>
    <n v="0"/>
    <n v="20"/>
    <n v="2"/>
    <n v="6"/>
    <x v="0"/>
    <x v="0"/>
    <n v="0"/>
    <n v="0.97058823529411697"/>
    <n v="1"/>
    <n v="1.2105263157894699"/>
    <n v="2.2772277227722699"/>
    <n v="2"/>
    <n v="3.6613636363636299"/>
  </r>
  <r>
    <s v="T0352"/>
    <x v="4"/>
    <d v="2025-01-26T00:00:00"/>
    <s v="Sunday"/>
    <d v="1899-12-30T08:45:00"/>
    <x v="18"/>
    <n v="51"/>
    <n v="46"/>
    <n v="14.2"/>
    <n v="25"/>
    <s v="East"/>
    <n v="1"/>
    <x v="0"/>
    <n v="39"/>
    <n v="35"/>
    <n v="3.9"/>
    <n v="0"/>
    <n v="8"/>
    <n v="1"/>
    <n v="6"/>
    <x v="0"/>
    <x v="2"/>
    <n v="0"/>
    <n v="0.89743589743589702"/>
    <n v="0"/>
    <n v="2.04"/>
    <n v="3.59154929577464"/>
    <n v="5"/>
    <n v="8.3255319148936096"/>
  </r>
  <r>
    <s v="T0455"/>
    <x v="5"/>
    <d v="2025-01-15T00:00:00"/>
    <s v="Wednesday"/>
    <d v="1899-12-30T06:45:00"/>
    <x v="13"/>
    <n v="41"/>
    <n v="41"/>
    <n v="12.5"/>
    <n v="22"/>
    <s v="Central"/>
    <n v="0"/>
    <x v="0"/>
    <n v="25"/>
    <n v="24"/>
    <n v="2.7"/>
    <n v="1"/>
    <n v="6"/>
    <n v="1"/>
    <n v="2"/>
    <x v="1"/>
    <x v="0"/>
    <n v="0"/>
    <n v="0.96"/>
    <n v="0"/>
    <n v="1.86363636363636"/>
    <n v="3.28"/>
    <n v="0"/>
    <n v="3.4760869565217298"/>
  </r>
  <r>
    <s v="T0303"/>
    <x v="2"/>
    <d v="2025-02-28T00:00:00"/>
    <s v="Friday"/>
    <d v="1899-12-30T17:00:00"/>
    <x v="0"/>
    <n v="107"/>
    <n v="100"/>
    <n v="18.399999999999999"/>
    <n v="32"/>
    <s v="East"/>
    <n v="0"/>
    <x v="0"/>
    <n v="23"/>
    <n v="20"/>
    <n v="11"/>
    <n v="0"/>
    <n v="17"/>
    <n v="2"/>
    <n v="4"/>
    <x v="1"/>
    <x v="1"/>
    <n v="0"/>
    <n v="0.86956521739130399"/>
    <n v="1"/>
    <n v="3.34375"/>
    <n v="5.8152173913043397"/>
    <n v="7"/>
    <n v="8.6013888888888896"/>
  </r>
  <r>
    <s v="T0197"/>
    <x v="1"/>
    <d v="2025-01-01T00:00:00"/>
    <s v="Wednesday"/>
    <d v="1899-12-30T17:15:00"/>
    <x v="8"/>
    <n v="71"/>
    <n v="63"/>
    <n v="9.5"/>
    <n v="17"/>
    <s v="North"/>
    <n v="1"/>
    <x v="0"/>
    <n v="18"/>
    <n v="17"/>
    <n v="4.5"/>
    <n v="0"/>
    <n v="17"/>
    <n v="1"/>
    <n v="2"/>
    <x v="1"/>
    <x v="1"/>
    <n v="0"/>
    <n v="0.94444444444444398"/>
    <n v="0"/>
    <n v="4.1764705882352899"/>
    <n v="7.4736842105263097"/>
    <n v="8"/>
    <n v="3.8470588235294101"/>
  </r>
  <r>
    <s v="T0089"/>
    <x v="8"/>
    <d v="2025-01-26T00:00:00"/>
    <s v="Sunday"/>
    <d v="1899-12-30T15:45:00"/>
    <x v="1"/>
    <n v="22"/>
    <n v="22"/>
    <n v="7.3"/>
    <n v="13"/>
    <s v="South"/>
    <n v="1"/>
    <x v="0"/>
    <n v="22"/>
    <n v="21"/>
    <n v="4.9000000000000004"/>
    <n v="0"/>
    <n v="15"/>
    <n v="1"/>
    <n v="6"/>
    <x v="0"/>
    <x v="0"/>
    <n v="0"/>
    <n v="0.95454545454545403"/>
    <n v="0"/>
    <n v="1.6923076923076901"/>
    <n v="3.0136986301369801"/>
    <n v="0"/>
    <n v="4.0518518518518496"/>
  </r>
  <r>
    <s v="T0326"/>
    <x v="1"/>
    <d v="2025-02-20T00:00:00"/>
    <s v="Thursday"/>
    <d v="1899-12-30T17:30:00"/>
    <x v="0"/>
    <n v="79"/>
    <n v="69"/>
    <n v="9.5"/>
    <n v="17"/>
    <s v="North"/>
    <n v="0"/>
    <x v="0"/>
    <n v="22"/>
    <n v="21"/>
    <n v="8.1999999999999993"/>
    <n v="0"/>
    <n v="17"/>
    <n v="2"/>
    <n v="3"/>
    <x v="1"/>
    <x v="1"/>
    <n v="0"/>
    <n v="0.95454545454545403"/>
    <n v="1"/>
    <n v="4.6470588235294104"/>
    <n v="8.3157894736842106"/>
    <n v="10"/>
    <n v="3.8470588235294101"/>
  </r>
  <r>
    <s v="T0324"/>
    <x v="3"/>
    <d v="2025-02-24T00:00:00"/>
    <s v="Monday"/>
    <d v="1899-12-30T17:00:00"/>
    <x v="17"/>
    <n v="56"/>
    <n v="53"/>
    <n v="8.1999999999999993"/>
    <n v="15"/>
    <s v="Central"/>
    <n v="0"/>
    <x v="0"/>
    <n v="27"/>
    <n v="27"/>
    <n v="6.5"/>
    <n v="0"/>
    <n v="17"/>
    <n v="2"/>
    <n v="0"/>
    <x v="1"/>
    <x v="1"/>
    <n v="0"/>
    <n v="1"/>
    <n v="1"/>
    <n v="3.7333333333333298"/>
    <n v="6.8292682926829196"/>
    <n v="3"/>
    <n v="3.6937500000000001"/>
  </r>
  <r>
    <s v="T0256"/>
    <x v="2"/>
    <d v="2025-02-07T00:00:00"/>
    <s v="Friday"/>
    <d v="1899-12-30T07:15:00"/>
    <x v="7"/>
    <n v="120"/>
    <n v="113"/>
    <n v="18.399999999999999"/>
    <n v="32"/>
    <s v="East"/>
    <n v="0"/>
    <x v="0"/>
    <n v="36"/>
    <n v="29"/>
    <n v="8.3000000000000007"/>
    <n v="0"/>
    <n v="7"/>
    <n v="2"/>
    <n v="4"/>
    <x v="1"/>
    <x v="2"/>
    <n v="0"/>
    <n v="0.80555555555555503"/>
    <n v="1"/>
    <n v="3.75"/>
    <n v="6.5217391304347796"/>
    <n v="7"/>
    <n v="8.6013888888888896"/>
  </r>
  <r>
    <s v="T0381"/>
    <x v="5"/>
    <d v="2025-02-25T00:00:00"/>
    <s v="Tuesday"/>
    <d v="1899-12-30T08:00:00"/>
    <x v="18"/>
    <n v="82"/>
    <n v="71"/>
    <n v="12.5"/>
    <n v="22"/>
    <s v="Central"/>
    <n v="0"/>
    <x v="0"/>
    <n v="28"/>
    <n v="28"/>
    <n v="4.5"/>
    <n v="0"/>
    <n v="8"/>
    <n v="2"/>
    <n v="1"/>
    <x v="1"/>
    <x v="2"/>
    <n v="0"/>
    <n v="1"/>
    <n v="0"/>
    <n v="3.72727272727272"/>
    <n v="6.56"/>
    <n v="11"/>
    <n v="3.4760869565217298"/>
  </r>
  <r>
    <s v="T0059"/>
    <x v="5"/>
    <d v="2025-01-05T00:00:00"/>
    <s v="Sunday"/>
    <d v="1899-12-30T19:45:00"/>
    <x v="3"/>
    <n v="57"/>
    <n v="55"/>
    <n v="12.5"/>
    <n v="22"/>
    <s v="Central"/>
    <n v="0"/>
    <x v="0"/>
    <n v="19"/>
    <n v="18"/>
    <n v="4.4000000000000004"/>
    <n v="0"/>
    <n v="19"/>
    <n v="1"/>
    <n v="6"/>
    <x v="0"/>
    <x v="1"/>
    <n v="0"/>
    <n v="0.94736842105263097"/>
    <n v="0"/>
    <n v="2.5909090909090899"/>
    <n v="4.5599999999999996"/>
    <n v="2"/>
    <n v="3.4760869565217298"/>
  </r>
  <r>
    <s v="T0034"/>
    <x v="7"/>
    <d v="2025-02-01T00:00:00"/>
    <s v="Saturday"/>
    <d v="1899-12-30T15:45:00"/>
    <x v="15"/>
    <n v="30"/>
    <n v="28"/>
    <n v="11.6"/>
    <n v="21"/>
    <s v="West"/>
    <n v="0"/>
    <x v="0"/>
    <n v="39"/>
    <n v="36"/>
    <n v="2"/>
    <n v="0"/>
    <n v="15"/>
    <n v="2"/>
    <n v="5"/>
    <x v="0"/>
    <x v="0"/>
    <n v="0"/>
    <n v="0.92307692307692302"/>
    <n v="0"/>
    <n v="1.4285714285714199"/>
    <n v="2.5862068965517202"/>
    <n v="2"/>
    <n v="2.80217391304347"/>
  </r>
  <r>
    <s v="T0039"/>
    <x v="0"/>
    <d v="2025-01-26T00:00:00"/>
    <s v="Sunday"/>
    <d v="1899-12-30T07:00:00"/>
    <x v="18"/>
    <n v="37"/>
    <n v="35"/>
    <n v="10.1"/>
    <n v="19"/>
    <s v="West"/>
    <n v="1"/>
    <x v="0"/>
    <n v="24"/>
    <n v="24"/>
    <n v="3.3"/>
    <n v="1"/>
    <n v="7"/>
    <n v="1"/>
    <n v="6"/>
    <x v="0"/>
    <x v="2"/>
    <n v="0"/>
    <n v="1"/>
    <n v="0"/>
    <n v="1.9473684210526301"/>
    <n v="3.66336633663366"/>
    <n v="2"/>
    <n v="3.6613636363636299"/>
  </r>
  <r>
    <s v="T0360"/>
    <x v="2"/>
    <d v="2025-01-04T00:00:00"/>
    <s v="Saturday"/>
    <d v="1899-12-30T08:30:00"/>
    <x v="15"/>
    <n v="84"/>
    <n v="84"/>
    <n v="18.399999999999999"/>
    <n v="32"/>
    <s v="East"/>
    <n v="0"/>
    <x v="0"/>
    <n v="26"/>
    <n v="24"/>
    <n v="2.9"/>
    <n v="0"/>
    <n v="8"/>
    <n v="1"/>
    <n v="5"/>
    <x v="0"/>
    <x v="2"/>
    <n v="0"/>
    <n v="0.92307692307692302"/>
    <n v="0"/>
    <n v="2.625"/>
    <n v="4.5652173913043397"/>
    <n v="0"/>
    <n v="8.6013888888888896"/>
  </r>
  <r>
    <s v="T0052"/>
    <x v="4"/>
    <d v="2025-02-17T00:00:00"/>
    <s v="Monday"/>
    <d v="1899-12-30T16:15:00"/>
    <x v="1"/>
    <n v="45"/>
    <n v="40"/>
    <n v="14.2"/>
    <n v="25"/>
    <s v="East"/>
    <n v="0"/>
    <x v="0"/>
    <n v="38"/>
    <n v="34"/>
    <n v="6.6"/>
    <n v="0"/>
    <n v="16"/>
    <n v="2"/>
    <n v="0"/>
    <x v="1"/>
    <x v="0"/>
    <n v="0"/>
    <n v="0.89473684210526305"/>
    <n v="1"/>
    <n v="1.8"/>
    <n v="3.1690140845070398"/>
    <n v="5"/>
    <n v="8.3255319148936096"/>
  </r>
  <r>
    <s v="T0364"/>
    <x v="2"/>
    <d v="2025-01-20T00:00:00"/>
    <s v="Monday"/>
    <d v="1899-12-30T06:15:00"/>
    <x v="19"/>
    <n v="62"/>
    <n v="55"/>
    <n v="18.399999999999999"/>
    <n v="32"/>
    <s v="East"/>
    <n v="0"/>
    <x v="0"/>
    <n v="21"/>
    <n v="18"/>
    <n v="8.8000000000000007"/>
    <n v="1"/>
    <n v="6"/>
    <n v="1"/>
    <n v="0"/>
    <x v="1"/>
    <x v="0"/>
    <n v="0"/>
    <n v="0.85714285714285698"/>
    <n v="1"/>
    <n v="1.9375"/>
    <n v="3.3695652173913002"/>
    <n v="7"/>
    <n v="8.6013888888888896"/>
  </r>
  <r>
    <s v="T0427"/>
    <x v="6"/>
    <d v="2025-02-06T00:00:00"/>
    <s v="Thursday"/>
    <d v="1899-12-30T07:00:00"/>
    <x v="1"/>
    <n v="55"/>
    <n v="51"/>
    <n v="6.8"/>
    <n v="12"/>
    <s v="South"/>
    <n v="0"/>
    <x v="0"/>
    <n v="29"/>
    <n v="28"/>
    <n v="6.4"/>
    <n v="0"/>
    <n v="7"/>
    <n v="2"/>
    <n v="3"/>
    <x v="1"/>
    <x v="2"/>
    <n v="0"/>
    <n v="0.96551724137931005"/>
    <n v="1"/>
    <n v="4.5833333333333304"/>
    <n v="8.0882352941176396"/>
    <n v="4"/>
    <n v="2.7611111111111102"/>
  </r>
  <r>
    <s v="T0261"/>
    <x v="2"/>
    <d v="2025-02-24T00:00:00"/>
    <s v="Monday"/>
    <d v="1899-12-30T12:45:00"/>
    <x v="3"/>
    <n v="57"/>
    <n v="50"/>
    <n v="18.399999999999999"/>
    <n v="32"/>
    <s v="East"/>
    <n v="0"/>
    <x v="0"/>
    <n v="30"/>
    <n v="28"/>
    <n v="18.8"/>
    <n v="0"/>
    <n v="12"/>
    <n v="2"/>
    <n v="0"/>
    <x v="1"/>
    <x v="0"/>
    <n v="0"/>
    <n v="0.93333333333333302"/>
    <n v="1"/>
    <n v="1.78125"/>
    <n v="3.0978260869565202"/>
    <n v="7"/>
    <n v="8.6013888888888896"/>
  </r>
  <r>
    <s v="T0103"/>
    <x v="9"/>
    <d v="2025-01-30T00:00:00"/>
    <s v="Thursday"/>
    <d v="1899-12-30T16:15:00"/>
    <x v="10"/>
    <n v="54"/>
    <n v="51"/>
    <n v="15"/>
    <n v="28"/>
    <s v="North"/>
    <n v="0"/>
    <x v="0"/>
    <n v="34"/>
    <n v="29"/>
    <n v="9.1"/>
    <n v="1"/>
    <n v="16"/>
    <n v="1"/>
    <n v="3"/>
    <x v="1"/>
    <x v="0"/>
    <n v="0"/>
    <n v="0.85294117647058798"/>
    <n v="1"/>
    <n v="1.9285714285714199"/>
    <n v="3.6"/>
    <n v="3"/>
    <n v="9.4749999999999996"/>
  </r>
  <r>
    <s v="T0196"/>
    <x v="9"/>
    <d v="2025-01-06T00:00:00"/>
    <s v="Monday"/>
    <d v="1899-12-30T07:30:00"/>
    <x v="15"/>
    <n v="90"/>
    <n v="80"/>
    <n v="15"/>
    <n v="28"/>
    <s v="North"/>
    <n v="0"/>
    <x v="0"/>
    <n v="22"/>
    <n v="18"/>
    <n v="6.1"/>
    <n v="0"/>
    <n v="7"/>
    <n v="1"/>
    <n v="0"/>
    <x v="1"/>
    <x v="2"/>
    <n v="0"/>
    <n v="0.81818181818181801"/>
    <n v="1"/>
    <n v="3.21428571428571"/>
    <n v="6"/>
    <n v="10"/>
    <n v="9.4749999999999996"/>
  </r>
  <r>
    <s v="T0168"/>
    <x v="3"/>
    <d v="2025-01-16T00:00:00"/>
    <s v="Thursday"/>
    <d v="1899-12-30T16:45:00"/>
    <x v="13"/>
    <n v="43"/>
    <n v="42"/>
    <n v="8.1999999999999993"/>
    <n v="15"/>
    <s v="Central"/>
    <n v="0"/>
    <x v="0"/>
    <n v="33"/>
    <n v="32"/>
    <n v="6.7"/>
    <n v="0"/>
    <n v="16"/>
    <n v="1"/>
    <n v="3"/>
    <x v="1"/>
    <x v="0"/>
    <n v="0"/>
    <n v="0.96969696969696895"/>
    <n v="1"/>
    <n v="2.86666666666666"/>
    <n v="5.2439024390243896"/>
    <n v="1"/>
    <n v="3.6937500000000001"/>
  </r>
  <r>
    <s v="T0294"/>
    <x v="9"/>
    <d v="2025-02-11T00:00:00"/>
    <s v="Tuesday"/>
    <d v="1899-12-30T08:30:00"/>
    <x v="15"/>
    <n v="75"/>
    <n v="65"/>
    <n v="15"/>
    <n v="28"/>
    <s v="North"/>
    <n v="0"/>
    <x v="0"/>
    <n v="26"/>
    <n v="25"/>
    <n v="6.4"/>
    <n v="0"/>
    <n v="8"/>
    <n v="2"/>
    <n v="1"/>
    <x v="1"/>
    <x v="2"/>
    <n v="0"/>
    <n v="0.96153846153846101"/>
    <n v="1"/>
    <n v="2.6785714285714199"/>
    <n v="5"/>
    <n v="10"/>
    <n v="9.4749999999999996"/>
  </r>
  <r>
    <s v="T0117"/>
    <x v="4"/>
    <d v="2025-02-08T00:00:00"/>
    <s v="Saturday"/>
    <d v="1899-12-30T09:00:00"/>
    <x v="11"/>
    <n v="107"/>
    <n v="104"/>
    <n v="14.2"/>
    <n v="25"/>
    <s v="East"/>
    <n v="0"/>
    <x v="1"/>
    <n v="34"/>
    <n v="30"/>
    <n v="14.8"/>
    <n v="0"/>
    <n v="9"/>
    <n v="2"/>
    <n v="5"/>
    <x v="0"/>
    <x v="2"/>
    <n v="1"/>
    <n v="0.88235294117647001"/>
    <n v="1"/>
    <n v="4.28"/>
    <n v="7.5352112676056304"/>
    <n v="3"/>
    <n v="8.3255319148936096"/>
  </r>
  <r>
    <s v="T0125"/>
    <x v="3"/>
    <d v="2025-01-30T00:00:00"/>
    <s v="Thursday"/>
    <d v="1899-12-30T17:45:00"/>
    <x v="18"/>
    <n v="62"/>
    <n v="61"/>
    <n v="8.1999999999999993"/>
    <n v="15"/>
    <s v="Central"/>
    <n v="0"/>
    <x v="0"/>
    <n v="24"/>
    <n v="24"/>
    <n v="0.9"/>
    <n v="0"/>
    <n v="17"/>
    <n v="1"/>
    <n v="3"/>
    <x v="1"/>
    <x v="1"/>
    <n v="0"/>
    <n v="1"/>
    <n v="0"/>
    <n v="4.1333333333333302"/>
    <n v="7.5609756097560901"/>
    <n v="1"/>
    <n v="3.6937500000000001"/>
  </r>
  <r>
    <s v="T0405"/>
    <x v="9"/>
    <d v="2025-02-18T00:00:00"/>
    <s v="Tuesday"/>
    <d v="1899-12-30T15:00:00"/>
    <x v="1"/>
    <n v="57"/>
    <n v="52"/>
    <n v="15"/>
    <n v="28"/>
    <s v="North"/>
    <n v="0"/>
    <x v="0"/>
    <n v="32"/>
    <n v="26"/>
    <n v="7.9"/>
    <n v="0"/>
    <n v="15"/>
    <n v="2"/>
    <n v="1"/>
    <x v="1"/>
    <x v="0"/>
    <n v="0"/>
    <n v="0.8125"/>
    <n v="1"/>
    <n v="2.0357142857142798"/>
    <n v="3.8"/>
    <n v="5"/>
    <n v="9.4749999999999996"/>
  </r>
  <r>
    <s v="T0219"/>
    <x v="0"/>
    <d v="2025-02-17T00:00:00"/>
    <s v="Monday"/>
    <d v="1899-12-30T16:15:00"/>
    <x v="18"/>
    <n v="44"/>
    <n v="41"/>
    <n v="10.1"/>
    <n v="19"/>
    <s v="West"/>
    <n v="0"/>
    <x v="0"/>
    <n v="28"/>
    <n v="26"/>
    <n v="3.3"/>
    <n v="1"/>
    <n v="16"/>
    <n v="2"/>
    <n v="0"/>
    <x v="1"/>
    <x v="0"/>
    <n v="0"/>
    <n v="0.92857142857142805"/>
    <n v="0"/>
    <n v="2.3157894736842102"/>
    <n v="4.3564356435643496"/>
    <n v="3"/>
    <n v="3.6613636363636299"/>
  </r>
  <r>
    <s v="T0288"/>
    <x v="2"/>
    <d v="2025-02-16T00:00:00"/>
    <s v="Sunday"/>
    <d v="1899-12-30T05:00:00"/>
    <x v="2"/>
    <n v="42"/>
    <n v="39"/>
    <n v="18.399999999999999"/>
    <n v="32"/>
    <s v="East"/>
    <n v="0"/>
    <x v="0"/>
    <n v="25"/>
    <n v="23"/>
    <n v="9.4"/>
    <n v="0"/>
    <n v="5"/>
    <n v="2"/>
    <n v="6"/>
    <x v="0"/>
    <x v="0"/>
    <n v="0"/>
    <n v="0.92"/>
    <n v="1"/>
    <n v="1.3125"/>
    <n v="2.2826086956521698"/>
    <n v="3"/>
    <n v="8.6013888888888896"/>
  </r>
  <r>
    <s v="T0320"/>
    <x v="3"/>
    <d v="2025-01-31T00:00:00"/>
    <s v="Friday"/>
    <d v="1899-12-30T22:15:00"/>
    <x v="1"/>
    <n v="42"/>
    <n v="38"/>
    <n v="8.1999999999999993"/>
    <n v="15"/>
    <s v="Central"/>
    <n v="0"/>
    <x v="0"/>
    <n v="27"/>
    <n v="27"/>
    <n v="3.5"/>
    <n v="0"/>
    <n v="22"/>
    <n v="1"/>
    <n v="4"/>
    <x v="1"/>
    <x v="0"/>
    <n v="0"/>
    <n v="1"/>
    <n v="0"/>
    <n v="2.8"/>
    <n v="5.1219512195121899"/>
    <n v="4"/>
    <n v="3.6937500000000001"/>
  </r>
  <r>
    <s v="T0214"/>
    <x v="3"/>
    <d v="2025-01-22T00:00:00"/>
    <s v="Wednesday"/>
    <d v="1899-12-30T15:15:00"/>
    <x v="7"/>
    <n v="30"/>
    <n v="26"/>
    <n v="8.1999999999999993"/>
    <n v="15"/>
    <s v="Central"/>
    <n v="0"/>
    <x v="0"/>
    <n v="37"/>
    <n v="37"/>
    <n v="4.8"/>
    <n v="0"/>
    <n v="15"/>
    <n v="1"/>
    <n v="2"/>
    <x v="1"/>
    <x v="0"/>
    <n v="0"/>
    <n v="1"/>
    <n v="0"/>
    <n v="2"/>
    <n v="3.6585365853658498"/>
    <n v="4"/>
    <n v="3.6937500000000001"/>
  </r>
  <r>
    <s v="T0096"/>
    <x v="2"/>
    <d v="2025-02-19T00:00:00"/>
    <s v="Wednesday"/>
    <d v="1899-12-30T14:30:00"/>
    <x v="5"/>
    <n v="56"/>
    <n v="52"/>
    <n v="18.399999999999999"/>
    <n v="32"/>
    <s v="East"/>
    <n v="0"/>
    <x v="0"/>
    <n v="23"/>
    <n v="21"/>
    <n v="11.2"/>
    <n v="0"/>
    <n v="14"/>
    <n v="2"/>
    <n v="2"/>
    <x v="1"/>
    <x v="0"/>
    <n v="0"/>
    <n v="0.91304347826086896"/>
    <n v="1"/>
    <n v="1.75"/>
    <n v="3.0434782608695601"/>
    <n v="4"/>
    <n v="8.6013888888888896"/>
  </r>
  <r>
    <s v="T0434"/>
    <x v="5"/>
    <d v="2025-01-05T00:00:00"/>
    <s v="Sunday"/>
    <d v="1899-12-30T10:30:00"/>
    <x v="0"/>
    <n v="36"/>
    <n v="36"/>
    <n v="12.5"/>
    <n v="22"/>
    <s v="Central"/>
    <n v="0"/>
    <x v="0"/>
    <n v="19"/>
    <n v="18"/>
    <n v="4.4000000000000004"/>
    <n v="0"/>
    <n v="10"/>
    <n v="1"/>
    <n v="6"/>
    <x v="0"/>
    <x v="0"/>
    <n v="0"/>
    <n v="0.94736842105263097"/>
    <n v="0"/>
    <n v="1.63636363636363"/>
    <n v="2.88"/>
    <n v="0"/>
    <n v="3.4760869565217298"/>
  </r>
  <r>
    <s v="T0163"/>
    <x v="0"/>
    <d v="2025-02-20T00:00:00"/>
    <s v="Thursday"/>
    <d v="1899-12-30T08:45:00"/>
    <x v="9"/>
    <n v="73"/>
    <n v="69"/>
    <n v="10.1"/>
    <n v="19"/>
    <s v="West"/>
    <n v="0"/>
    <x v="0"/>
    <n v="18"/>
    <n v="17"/>
    <n v="3.6"/>
    <n v="0"/>
    <n v="8"/>
    <n v="2"/>
    <n v="3"/>
    <x v="1"/>
    <x v="2"/>
    <n v="0"/>
    <n v="0.94444444444444398"/>
    <n v="0"/>
    <n v="3.8421052631578898"/>
    <n v="7.2277227722772199"/>
    <n v="4"/>
    <n v="3.6613636363636299"/>
  </r>
  <r>
    <s v="T0264"/>
    <x v="2"/>
    <d v="2025-01-10T00:00:00"/>
    <s v="Friday"/>
    <d v="1899-12-30T15:00:00"/>
    <x v="5"/>
    <n v="55"/>
    <n v="53"/>
    <n v="18.399999999999999"/>
    <n v="32"/>
    <s v="East"/>
    <n v="0"/>
    <x v="0"/>
    <n v="28"/>
    <n v="23"/>
    <n v="8.8000000000000007"/>
    <n v="1"/>
    <n v="15"/>
    <n v="1"/>
    <n v="4"/>
    <x v="1"/>
    <x v="0"/>
    <n v="0"/>
    <n v="0.82142857142857095"/>
    <n v="1"/>
    <n v="1.71875"/>
    <n v="2.9891304347826"/>
    <n v="2"/>
    <n v="8.6013888888888896"/>
  </r>
  <r>
    <s v="T0361"/>
    <x v="9"/>
    <d v="2025-01-19T00:00:00"/>
    <s v="Sunday"/>
    <d v="1899-12-30T08:30:00"/>
    <x v="20"/>
    <n v="89"/>
    <n v="83"/>
    <n v="15"/>
    <n v="28"/>
    <s v="North"/>
    <n v="0"/>
    <x v="0"/>
    <n v="35"/>
    <n v="29"/>
    <n v="6.4"/>
    <n v="0"/>
    <n v="8"/>
    <n v="1"/>
    <n v="6"/>
    <x v="0"/>
    <x v="2"/>
    <n v="0"/>
    <n v="0.82857142857142796"/>
    <n v="1"/>
    <n v="3.1785714285714199"/>
    <n v="5.93333333333333"/>
    <n v="6"/>
    <n v="9.4749999999999996"/>
  </r>
  <r>
    <s v="T0076"/>
    <x v="1"/>
    <d v="2025-02-20T00:00:00"/>
    <s v="Thursday"/>
    <d v="1899-12-30T21:45:00"/>
    <x v="7"/>
    <n v="42"/>
    <n v="40"/>
    <n v="9.5"/>
    <n v="17"/>
    <s v="North"/>
    <n v="0"/>
    <x v="0"/>
    <n v="22"/>
    <n v="21"/>
    <n v="8.1999999999999993"/>
    <n v="0"/>
    <n v="21"/>
    <n v="2"/>
    <n v="3"/>
    <x v="1"/>
    <x v="0"/>
    <n v="0"/>
    <n v="0.95454545454545403"/>
    <n v="1"/>
    <n v="2.4705882352941102"/>
    <n v="4.4210526315789398"/>
    <n v="2"/>
    <n v="3.8470588235294101"/>
  </r>
  <r>
    <s v="T0467"/>
    <x v="9"/>
    <d v="2025-02-20T00:00:00"/>
    <s v="Thursday"/>
    <d v="1899-12-30T18:15:00"/>
    <x v="12"/>
    <n v="122.625"/>
    <n v="118"/>
    <n v="15"/>
    <n v="28"/>
    <s v="North"/>
    <n v="0"/>
    <x v="0"/>
    <n v="33"/>
    <n v="27"/>
    <n v="16.100000000000001"/>
    <n v="0"/>
    <n v="18"/>
    <n v="2"/>
    <n v="3"/>
    <x v="1"/>
    <x v="1"/>
    <n v="0"/>
    <n v="0.81818181818181801"/>
    <n v="1"/>
    <n v="4.3794642857142803"/>
    <n v="8.1750000000000007"/>
    <n v="4.625"/>
    <n v="9.4749999999999996"/>
  </r>
  <r>
    <s v="T0300"/>
    <x v="5"/>
    <d v="2025-02-03T00:00:00"/>
    <s v="Monday"/>
    <d v="1899-12-30T05:30:00"/>
    <x v="15"/>
    <n v="54"/>
    <n v="50"/>
    <n v="12.5"/>
    <n v="22"/>
    <s v="Central"/>
    <n v="0"/>
    <x v="0"/>
    <n v="30"/>
    <n v="30"/>
    <n v="0.3"/>
    <n v="0"/>
    <n v="5"/>
    <n v="2"/>
    <n v="0"/>
    <x v="1"/>
    <x v="0"/>
    <n v="0"/>
    <n v="1"/>
    <n v="0"/>
    <n v="2.4545454545454501"/>
    <n v="4.32"/>
    <n v="4"/>
    <n v="3.4760869565217298"/>
  </r>
  <r>
    <s v="T0023"/>
    <x v="9"/>
    <d v="2025-01-30T00:00:00"/>
    <s v="Thursday"/>
    <d v="1899-12-30T15:30:00"/>
    <x v="15"/>
    <n v="65"/>
    <n v="59"/>
    <n v="15"/>
    <n v="28"/>
    <s v="North"/>
    <n v="0"/>
    <x v="0"/>
    <n v="34"/>
    <n v="29"/>
    <n v="9.1"/>
    <n v="1"/>
    <n v="15"/>
    <n v="1"/>
    <n v="3"/>
    <x v="1"/>
    <x v="0"/>
    <n v="0"/>
    <n v="0.85294117647058798"/>
    <n v="1"/>
    <n v="2.3214285714285698"/>
    <n v="4.3333333333333304"/>
    <n v="6"/>
    <n v="9.4749999999999996"/>
  </r>
  <r>
    <s v="T0073"/>
    <x v="5"/>
    <d v="2025-01-09T00:00:00"/>
    <s v="Thursday"/>
    <d v="1899-12-30T08:00:00"/>
    <x v="15"/>
    <n v="64"/>
    <n v="61"/>
    <n v="12.5"/>
    <n v="22"/>
    <s v="Central"/>
    <n v="0"/>
    <x v="0"/>
    <n v="33"/>
    <n v="31"/>
    <n v="4.5"/>
    <n v="0"/>
    <n v="8"/>
    <n v="1"/>
    <n v="3"/>
    <x v="1"/>
    <x v="2"/>
    <n v="0"/>
    <n v="0.939393939393939"/>
    <n v="0"/>
    <n v="2.9090909090908998"/>
    <n v="5.12"/>
    <n v="3"/>
    <n v="3.4760869565217298"/>
  </r>
  <r>
    <s v="T0494"/>
    <x v="3"/>
    <d v="2025-02-02T00:00:00"/>
    <s v="Sunday"/>
    <d v="1899-12-30T15:30:00"/>
    <x v="2"/>
    <n v="25"/>
    <n v="24"/>
    <n v="8.1999999999999993"/>
    <n v="15"/>
    <s v="Central"/>
    <n v="0"/>
    <x v="0"/>
    <n v="33"/>
    <n v="32"/>
    <n v="4.5999999999999996"/>
    <n v="0"/>
    <n v="15"/>
    <n v="2"/>
    <n v="6"/>
    <x v="0"/>
    <x v="0"/>
    <n v="0"/>
    <n v="0.96969696969696895"/>
    <n v="0"/>
    <n v="1.6666666666666601"/>
    <n v="3.0487804878048701"/>
    <n v="1"/>
    <n v="3.6937500000000001"/>
  </r>
  <r>
    <s v="T0016"/>
    <x v="3"/>
    <d v="2025-02-20T00:00:00"/>
    <s v="Thursday"/>
    <d v="1899-12-30T15:45:00"/>
    <x v="14"/>
    <n v="47"/>
    <n v="42"/>
    <n v="8.1999999999999993"/>
    <n v="15"/>
    <s v="Central"/>
    <n v="0"/>
    <x v="0"/>
    <n v="22"/>
    <n v="21"/>
    <n v="2.95"/>
    <n v="1"/>
    <n v="15"/>
    <n v="2"/>
    <n v="3"/>
    <x v="1"/>
    <x v="0"/>
    <n v="0"/>
    <n v="0.95454545454545403"/>
    <n v="0"/>
    <n v="3.1333333333333302"/>
    <n v="5.7317073170731696"/>
    <n v="5"/>
    <n v="3.6937500000000001"/>
  </r>
  <r>
    <m/>
    <x v="10"/>
    <m/>
    <m/>
    <m/>
    <x v="24"/>
    <m/>
    <m/>
    <m/>
    <m/>
    <m/>
    <m/>
    <x v="4"/>
    <m/>
    <m/>
    <m/>
    <m/>
    <m/>
    <m/>
    <m/>
    <x v="2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4" firstHeaderRow="1" firstDataRow="1" firstDataCol="1"/>
  <pivotFields count="28">
    <pivotField axis="axisRow" showAll="0">
      <items count="11">
        <item x="5"/>
        <item x="7"/>
        <item x="3"/>
        <item x="9"/>
        <item x="6"/>
        <item x="2"/>
        <item x="0"/>
        <item x="1"/>
        <item x="4"/>
        <item x="8"/>
        <item t="default"/>
      </items>
    </pivotField>
    <pivotField numFmtId="14" showAll="0"/>
    <pivotField showAll="0"/>
    <pivotField numFmtId="20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boarding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boarding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29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26">
        <item x="2"/>
        <item x="14"/>
        <item x="20"/>
        <item x="23"/>
        <item x="3"/>
        <item x="13"/>
        <item x="12"/>
        <item x="8"/>
        <item x="19"/>
        <item x="21"/>
        <item x="10"/>
        <item x="6"/>
        <item x="11"/>
        <item x="4"/>
        <item x="18"/>
        <item x="5"/>
        <item x="7"/>
        <item x="1"/>
        <item x="9"/>
        <item x="16"/>
        <item x="15"/>
        <item x="22"/>
        <item x="0"/>
        <item x="17"/>
        <item x="2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boarding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oarding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D15" firstHeaderRow="0" firstDataRow="1" firstDataCol="1"/>
  <pivotFields count="29">
    <pivotField showAll="0"/>
    <pivotField axis="axisRow" showAll="0">
      <items count="12">
        <item x="5"/>
        <item x="7"/>
        <item x="3"/>
        <item x="9"/>
        <item x="6"/>
        <item x="2"/>
        <item x="0"/>
        <item x="1"/>
        <item x="4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delay_min" fld="15" subtotal="count" baseField="0" baseItem="0"/>
    <dataField name="Count of delay_flag" fld="24" subtotal="count" baseField="0" baseItem="0"/>
    <dataField name="Count of completion_rate" fld="2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9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arding" fld="6" subtotal="count" baseField="0" baseItem="0"/>
    <dataField name="Count of boarding2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Data" displayName="tblData" ref="A1:A501" totalsRowShown="0">
  <autoFilter ref="A1:A501"/>
  <tableColumns count="1">
    <tableColumn id="1" name="trip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4.6328125" bestFit="1" customWidth="1"/>
  </cols>
  <sheetData>
    <row r="3" spans="1:2" x14ac:dyDescent="0.35">
      <c r="A3" s="4" t="s">
        <v>588</v>
      </c>
      <c r="B3" t="s">
        <v>590</v>
      </c>
    </row>
    <row r="4" spans="1:2" x14ac:dyDescent="0.35">
      <c r="A4" s="5" t="s">
        <v>60</v>
      </c>
      <c r="B4" s="6">
        <v>5348.625</v>
      </c>
    </row>
    <row r="5" spans="1:2" x14ac:dyDescent="0.35">
      <c r="A5" s="5" t="s">
        <v>72</v>
      </c>
      <c r="B5" s="6">
        <v>2689.625</v>
      </c>
    </row>
    <row r="6" spans="1:2" x14ac:dyDescent="0.35">
      <c r="A6" s="5" t="s">
        <v>49</v>
      </c>
      <c r="B6" s="6">
        <v>2247</v>
      </c>
    </row>
    <row r="7" spans="1:2" x14ac:dyDescent="0.35">
      <c r="A7" s="5" t="s">
        <v>106</v>
      </c>
      <c r="B7" s="6">
        <v>5158.25</v>
      </c>
    </row>
    <row r="8" spans="1:2" x14ac:dyDescent="0.35">
      <c r="A8" s="5" t="s">
        <v>65</v>
      </c>
      <c r="B8" s="6">
        <v>887</v>
      </c>
    </row>
    <row r="9" spans="1:2" x14ac:dyDescent="0.35">
      <c r="A9" s="5" t="s">
        <v>43</v>
      </c>
      <c r="B9" s="6">
        <v>5379.125</v>
      </c>
    </row>
    <row r="10" spans="1:2" x14ac:dyDescent="0.35">
      <c r="A10" s="5" t="s">
        <v>30</v>
      </c>
      <c r="B10" s="6">
        <v>2208</v>
      </c>
    </row>
    <row r="11" spans="1:2" x14ac:dyDescent="0.35">
      <c r="A11" s="5" t="s">
        <v>37</v>
      </c>
      <c r="B11" s="6">
        <v>1724</v>
      </c>
    </row>
    <row r="12" spans="1:2" x14ac:dyDescent="0.35">
      <c r="A12" s="5" t="s">
        <v>57</v>
      </c>
      <c r="B12" s="6">
        <v>3356.25</v>
      </c>
    </row>
    <row r="13" spans="1:2" x14ac:dyDescent="0.35">
      <c r="A13" s="5" t="s">
        <v>102</v>
      </c>
      <c r="B13" s="6">
        <v>1260</v>
      </c>
    </row>
    <row r="14" spans="1:2" x14ac:dyDescent="0.35">
      <c r="A14" s="5" t="s">
        <v>589</v>
      </c>
      <c r="B14" s="6">
        <v>30257.875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K8" sqref="K8"/>
    </sheetView>
  </sheetViews>
  <sheetFormatPr defaultRowHeight="14.5" x14ac:dyDescent="0.35"/>
  <cols>
    <col min="1" max="1" width="12.36328125" customWidth="1"/>
    <col min="2" max="2" width="16.08984375" bestFit="1" customWidth="1"/>
    <col min="3" max="4" width="15.26953125" bestFit="1" customWidth="1"/>
    <col min="5" max="5" width="10.7265625" bestFit="1" customWidth="1"/>
  </cols>
  <sheetData>
    <row r="3" spans="1:2" x14ac:dyDescent="0.35">
      <c r="A3" s="4" t="s">
        <v>588</v>
      </c>
      <c r="B3" t="s">
        <v>597</v>
      </c>
    </row>
    <row r="4" spans="1:2" x14ac:dyDescent="0.35">
      <c r="A4" s="5" t="s">
        <v>41</v>
      </c>
      <c r="B4" s="6">
        <v>85</v>
      </c>
    </row>
    <row r="5" spans="1:2" x14ac:dyDescent="0.35">
      <c r="A5" s="5" t="s">
        <v>47</v>
      </c>
      <c r="B5" s="6">
        <v>131</v>
      </c>
    </row>
    <row r="6" spans="1:2" x14ac:dyDescent="0.35">
      <c r="A6" s="5" t="s">
        <v>35</v>
      </c>
      <c r="B6" s="6">
        <v>284</v>
      </c>
    </row>
    <row r="7" spans="1:2" x14ac:dyDescent="0.35">
      <c r="A7" s="5" t="s">
        <v>596</v>
      </c>
      <c r="B7" s="6"/>
    </row>
    <row r="8" spans="1:2" x14ac:dyDescent="0.35">
      <c r="A8" s="5" t="s">
        <v>589</v>
      </c>
      <c r="B8" s="6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>
      <selection activeCell="I22" sqref="I22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4" t="s">
        <v>588</v>
      </c>
      <c r="B3" t="s">
        <v>597</v>
      </c>
    </row>
    <row r="4" spans="1:2" x14ac:dyDescent="0.35">
      <c r="A4" s="5" t="s">
        <v>45</v>
      </c>
      <c r="B4" s="6">
        <v>47</v>
      </c>
    </row>
    <row r="5" spans="1:2" x14ac:dyDescent="0.35">
      <c r="A5" s="5" t="s">
        <v>97</v>
      </c>
      <c r="B5" s="6">
        <v>11</v>
      </c>
    </row>
    <row r="6" spans="1:2" x14ac:dyDescent="0.35">
      <c r="A6" s="5" t="s">
        <v>125</v>
      </c>
      <c r="B6" s="6">
        <v>17</v>
      </c>
    </row>
    <row r="7" spans="1:2" x14ac:dyDescent="0.35">
      <c r="A7" s="5" t="s">
        <v>250</v>
      </c>
      <c r="B7" s="6">
        <v>2</v>
      </c>
    </row>
    <row r="8" spans="1:2" x14ac:dyDescent="0.35">
      <c r="A8" s="5" t="s">
        <v>55</v>
      </c>
      <c r="B8" s="6">
        <v>34</v>
      </c>
    </row>
    <row r="9" spans="1:2" x14ac:dyDescent="0.35">
      <c r="A9" s="5" t="s">
        <v>89</v>
      </c>
      <c r="B9" s="6">
        <v>26</v>
      </c>
    </row>
    <row r="10" spans="1:2" x14ac:dyDescent="0.35">
      <c r="A10" s="5" t="s">
        <v>84</v>
      </c>
      <c r="B10" s="6">
        <v>7</v>
      </c>
    </row>
    <row r="11" spans="1:2" x14ac:dyDescent="0.35">
      <c r="A11" s="5" t="s">
        <v>73</v>
      </c>
      <c r="B11" s="6">
        <v>18</v>
      </c>
    </row>
    <row r="12" spans="1:2" x14ac:dyDescent="0.35">
      <c r="A12" s="5" t="s">
        <v>119</v>
      </c>
      <c r="B12" s="6">
        <v>11</v>
      </c>
    </row>
    <row r="13" spans="1:2" x14ac:dyDescent="0.35">
      <c r="A13" s="5" t="s">
        <v>137</v>
      </c>
      <c r="B13" s="6">
        <v>2</v>
      </c>
    </row>
    <row r="14" spans="1:2" x14ac:dyDescent="0.35">
      <c r="A14" s="5" t="s">
        <v>80</v>
      </c>
      <c r="B14" s="6">
        <v>12</v>
      </c>
    </row>
    <row r="15" spans="1:2" x14ac:dyDescent="0.35">
      <c r="A15" s="5" t="s">
        <v>63</v>
      </c>
      <c r="B15" s="6">
        <v>4</v>
      </c>
    </row>
    <row r="16" spans="1:2" x14ac:dyDescent="0.35">
      <c r="A16" s="5" t="s">
        <v>82</v>
      </c>
      <c r="B16" s="6">
        <v>18</v>
      </c>
    </row>
    <row r="17" spans="1:2" x14ac:dyDescent="0.35">
      <c r="A17" s="5" t="s">
        <v>58</v>
      </c>
      <c r="B17" s="6">
        <v>13</v>
      </c>
    </row>
    <row r="18" spans="1:2" x14ac:dyDescent="0.35">
      <c r="A18" s="5" t="s">
        <v>110</v>
      </c>
      <c r="B18" s="6">
        <v>36</v>
      </c>
    </row>
    <row r="19" spans="1:2" x14ac:dyDescent="0.35">
      <c r="A19" s="5" t="s">
        <v>61</v>
      </c>
      <c r="B19" s="6">
        <v>29</v>
      </c>
    </row>
    <row r="20" spans="1:2" x14ac:dyDescent="0.35">
      <c r="A20" s="5" t="s">
        <v>68</v>
      </c>
      <c r="B20" s="6">
        <v>38</v>
      </c>
    </row>
    <row r="21" spans="1:2" x14ac:dyDescent="0.35">
      <c r="A21" s="5" t="s">
        <v>39</v>
      </c>
      <c r="B21" s="6">
        <v>61</v>
      </c>
    </row>
    <row r="22" spans="1:2" x14ac:dyDescent="0.35">
      <c r="A22" s="5" t="s">
        <v>76</v>
      </c>
      <c r="B22" s="6">
        <v>5</v>
      </c>
    </row>
    <row r="23" spans="1:2" x14ac:dyDescent="0.35">
      <c r="A23" s="5" t="s">
        <v>104</v>
      </c>
      <c r="B23" s="6">
        <v>8</v>
      </c>
    </row>
    <row r="24" spans="1:2" x14ac:dyDescent="0.35">
      <c r="A24" s="5" t="s">
        <v>100</v>
      </c>
      <c r="B24" s="6">
        <v>34</v>
      </c>
    </row>
    <row r="25" spans="1:2" x14ac:dyDescent="0.35">
      <c r="A25" s="5" t="s">
        <v>150</v>
      </c>
      <c r="B25" s="6">
        <v>6</v>
      </c>
    </row>
    <row r="26" spans="1:2" x14ac:dyDescent="0.35">
      <c r="A26" s="5" t="s">
        <v>32</v>
      </c>
      <c r="B26" s="6">
        <v>46</v>
      </c>
    </row>
    <row r="27" spans="1:2" x14ac:dyDescent="0.35">
      <c r="A27" s="5" t="s">
        <v>107</v>
      </c>
      <c r="B27" s="6">
        <v>15</v>
      </c>
    </row>
    <row r="28" spans="1:2" x14ac:dyDescent="0.35">
      <c r="A28" s="5" t="s">
        <v>596</v>
      </c>
      <c r="B28" s="6"/>
    </row>
    <row r="29" spans="1:2" x14ac:dyDescent="0.35">
      <c r="A29" s="5" t="s">
        <v>589</v>
      </c>
      <c r="B29" s="6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16" sqref="L16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4" t="s">
        <v>588</v>
      </c>
      <c r="B3" t="s">
        <v>597</v>
      </c>
    </row>
    <row r="4" spans="1:2" x14ac:dyDescent="0.35">
      <c r="A4" s="5">
        <v>0</v>
      </c>
      <c r="B4" s="6">
        <v>350</v>
      </c>
    </row>
    <row r="5" spans="1:2" x14ac:dyDescent="0.35">
      <c r="A5" s="5">
        <v>1</v>
      </c>
      <c r="B5" s="6">
        <v>150</v>
      </c>
    </row>
    <row r="6" spans="1:2" x14ac:dyDescent="0.35">
      <c r="A6" s="5" t="s">
        <v>596</v>
      </c>
      <c r="B6" s="6"/>
    </row>
    <row r="7" spans="1:2" x14ac:dyDescent="0.35">
      <c r="A7" s="5" t="s">
        <v>589</v>
      </c>
      <c r="B7" s="6">
        <v>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K23" sqref="K23"/>
    </sheetView>
  </sheetViews>
  <sheetFormatPr defaultRowHeight="14.5" x14ac:dyDescent="0.35"/>
  <cols>
    <col min="1" max="1" width="12.36328125" bestFit="1" customWidth="1"/>
    <col min="2" max="2" width="17.36328125" bestFit="1" customWidth="1"/>
    <col min="3" max="3" width="17.1796875" bestFit="1" customWidth="1"/>
    <col min="4" max="4" width="22.7265625" bestFit="1" customWidth="1"/>
  </cols>
  <sheetData>
    <row r="3" spans="1:4" x14ac:dyDescent="0.35">
      <c r="A3" s="4" t="s">
        <v>588</v>
      </c>
      <c r="B3" t="s">
        <v>598</v>
      </c>
      <c r="C3" t="s">
        <v>599</v>
      </c>
      <c r="D3" t="s">
        <v>600</v>
      </c>
    </row>
    <row r="4" spans="1:4" x14ac:dyDescent="0.35">
      <c r="A4" s="5" t="s">
        <v>60</v>
      </c>
      <c r="B4" s="6">
        <v>92</v>
      </c>
      <c r="C4" s="6">
        <v>92</v>
      </c>
      <c r="D4" s="6">
        <v>92</v>
      </c>
    </row>
    <row r="5" spans="1:4" x14ac:dyDescent="0.35">
      <c r="A5" s="5" t="s">
        <v>72</v>
      </c>
      <c r="B5" s="6">
        <v>46</v>
      </c>
      <c r="C5" s="6">
        <v>46</v>
      </c>
      <c r="D5" s="6">
        <v>46</v>
      </c>
    </row>
    <row r="6" spans="1:4" x14ac:dyDescent="0.35">
      <c r="A6" s="5" t="s">
        <v>49</v>
      </c>
      <c r="B6" s="6">
        <v>48</v>
      </c>
      <c r="C6" s="6">
        <v>48</v>
      </c>
      <c r="D6" s="6">
        <v>48</v>
      </c>
    </row>
    <row r="7" spans="1:4" x14ac:dyDescent="0.35">
      <c r="A7" s="5" t="s">
        <v>106</v>
      </c>
      <c r="B7" s="6">
        <v>72</v>
      </c>
      <c r="C7" s="6">
        <v>72</v>
      </c>
      <c r="D7" s="6">
        <v>72</v>
      </c>
    </row>
    <row r="8" spans="1:4" x14ac:dyDescent="0.35">
      <c r="A8" s="5" t="s">
        <v>65</v>
      </c>
      <c r="B8" s="6">
        <v>18</v>
      </c>
      <c r="C8" s="6">
        <v>18</v>
      </c>
      <c r="D8" s="6">
        <v>18</v>
      </c>
    </row>
    <row r="9" spans="1:4" x14ac:dyDescent="0.35">
      <c r="A9" s="5" t="s">
        <v>43</v>
      </c>
      <c r="B9" s="6">
        <v>72</v>
      </c>
      <c r="C9" s="6">
        <v>72</v>
      </c>
      <c r="D9" s="6">
        <v>72</v>
      </c>
    </row>
    <row r="10" spans="1:4" x14ac:dyDescent="0.35">
      <c r="A10" s="5" t="s">
        <v>30</v>
      </c>
      <c r="B10" s="6">
        <v>44</v>
      </c>
      <c r="C10" s="6">
        <v>44</v>
      </c>
      <c r="D10" s="6">
        <v>44</v>
      </c>
    </row>
    <row r="11" spans="1:4" x14ac:dyDescent="0.35">
      <c r="A11" s="5" t="s">
        <v>37</v>
      </c>
      <c r="B11" s="6">
        <v>34</v>
      </c>
      <c r="C11" s="6">
        <v>34</v>
      </c>
      <c r="D11" s="6">
        <v>34</v>
      </c>
    </row>
    <row r="12" spans="1:4" x14ac:dyDescent="0.35">
      <c r="A12" s="5" t="s">
        <v>57</v>
      </c>
      <c r="B12" s="6">
        <v>47</v>
      </c>
      <c r="C12" s="6">
        <v>47</v>
      </c>
      <c r="D12" s="6">
        <v>47</v>
      </c>
    </row>
    <row r="13" spans="1:4" x14ac:dyDescent="0.35">
      <c r="A13" s="5" t="s">
        <v>102</v>
      </c>
      <c r="B13" s="6">
        <v>27</v>
      </c>
      <c r="C13" s="6">
        <v>27</v>
      </c>
      <c r="D13" s="6">
        <v>27</v>
      </c>
    </row>
    <row r="14" spans="1:4" x14ac:dyDescent="0.35">
      <c r="A14" s="5" t="s">
        <v>596</v>
      </c>
      <c r="B14" s="6"/>
      <c r="C14" s="6"/>
      <c r="D14" s="6"/>
    </row>
    <row r="15" spans="1:4" x14ac:dyDescent="0.35">
      <c r="A15" s="5" t="s">
        <v>589</v>
      </c>
      <c r="B15" s="6">
        <v>500</v>
      </c>
      <c r="C15" s="6">
        <v>500</v>
      </c>
      <c r="D15" s="6">
        <v>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7.1796875" bestFit="1" customWidth="1"/>
  </cols>
  <sheetData>
    <row r="3" spans="1:3" x14ac:dyDescent="0.35">
      <c r="A3" s="4" t="s">
        <v>588</v>
      </c>
      <c r="B3" t="s">
        <v>597</v>
      </c>
      <c r="C3" t="s">
        <v>601</v>
      </c>
    </row>
    <row r="4" spans="1:3" x14ac:dyDescent="0.35">
      <c r="A4" s="5" t="s">
        <v>148</v>
      </c>
      <c r="B4" s="6">
        <v>11</v>
      </c>
      <c r="C4" s="6">
        <v>11</v>
      </c>
    </row>
    <row r="5" spans="1:3" x14ac:dyDescent="0.35">
      <c r="A5" s="5" t="s">
        <v>52</v>
      </c>
      <c r="B5" s="6">
        <v>18</v>
      </c>
      <c r="C5" s="6">
        <v>18</v>
      </c>
    </row>
    <row r="6" spans="1:3" x14ac:dyDescent="0.35">
      <c r="A6" s="5" t="s">
        <v>69</v>
      </c>
      <c r="B6" s="6">
        <v>16</v>
      </c>
      <c r="C6" s="6">
        <v>16</v>
      </c>
    </row>
    <row r="7" spans="1:3" x14ac:dyDescent="0.35">
      <c r="A7" s="5" t="s">
        <v>34</v>
      </c>
      <c r="B7" s="6">
        <v>455</v>
      </c>
      <c r="C7" s="6">
        <v>455</v>
      </c>
    </row>
    <row r="8" spans="1:3" x14ac:dyDescent="0.35">
      <c r="A8" s="5" t="s">
        <v>596</v>
      </c>
      <c r="B8" s="6"/>
      <c r="C8" s="6"/>
    </row>
    <row r="9" spans="1:3" x14ac:dyDescent="0.35">
      <c r="A9" s="5" t="s">
        <v>589</v>
      </c>
      <c r="B9" s="6">
        <v>500</v>
      </c>
      <c r="C9" s="6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workbookViewId="0">
      <pane ySplit="1" topLeftCell="A480" activePane="bottomLeft" state="frozen"/>
      <selection pane="bottomLeft" activeCell="E13" sqref="A1:XFD1048576"/>
    </sheetView>
  </sheetViews>
  <sheetFormatPr defaultRowHeight="14.5" x14ac:dyDescent="0.35"/>
  <cols>
    <col min="1" max="1" width="10.7265625" customWidth="1"/>
    <col min="3" max="3" width="10.72656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s="1">
        <v>45662</v>
      </c>
      <c r="D2" t="s">
        <v>31</v>
      </c>
      <c r="E2" s="2">
        <v>0.26041666666666669</v>
      </c>
      <c r="F2" t="s">
        <v>32</v>
      </c>
      <c r="G2">
        <v>31</v>
      </c>
      <c r="H2">
        <v>28</v>
      </c>
      <c r="I2">
        <v>10.1</v>
      </c>
      <c r="J2">
        <v>19</v>
      </c>
      <c r="K2" t="s">
        <v>33</v>
      </c>
      <c r="L2">
        <v>0</v>
      </c>
      <c r="M2" t="s">
        <v>34</v>
      </c>
      <c r="N2">
        <v>34</v>
      </c>
      <c r="O2">
        <v>34</v>
      </c>
      <c r="P2">
        <v>0.8</v>
      </c>
      <c r="Q2">
        <v>0</v>
      </c>
      <c r="R2">
        <v>6</v>
      </c>
      <c r="S2">
        <v>1</v>
      </c>
      <c r="T2">
        <v>6</v>
      </c>
      <c r="U2">
        <v>1</v>
      </c>
      <c r="V2" t="s">
        <v>35</v>
      </c>
      <c r="W2">
        <v>0</v>
      </c>
      <c r="X2">
        <v>1</v>
      </c>
      <c r="Y2">
        <v>0</v>
      </c>
      <c r="Z2">
        <v>1.6315789473684199</v>
      </c>
      <c r="AA2">
        <v>3.06930693069306</v>
      </c>
      <c r="AB2">
        <v>3</v>
      </c>
      <c r="AC2">
        <v>3.6613636363636299</v>
      </c>
    </row>
    <row r="3" spans="1:29" x14ac:dyDescent="0.35">
      <c r="A3" t="s">
        <v>36</v>
      </c>
      <c r="B3" t="s">
        <v>37</v>
      </c>
      <c r="C3" s="1">
        <v>45688</v>
      </c>
      <c r="D3" t="s">
        <v>38</v>
      </c>
      <c r="E3" s="2">
        <v>0.73958333333333337</v>
      </c>
      <c r="F3" t="s">
        <v>39</v>
      </c>
      <c r="G3">
        <v>88</v>
      </c>
      <c r="H3">
        <v>87</v>
      </c>
      <c r="I3">
        <v>9.5</v>
      </c>
      <c r="J3">
        <v>17</v>
      </c>
      <c r="K3" t="s">
        <v>40</v>
      </c>
      <c r="L3">
        <v>0</v>
      </c>
      <c r="M3" t="s">
        <v>34</v>
      </c>
      <c r="N3">
        <v>35</v>
      </c>
      <c r="O3">
        <v>33</v>
      </c>
      <c r="P3">
        <v>0.4</v>
      </c>
      <c r="Q3">
        <v>0</v>
      </c>
      <c r="R3">
        <v>17</v>
      </c>
      <c r="S3">
        <v>1</v>
      </c>
      <c r="T3">
        <v>4</v>
      </c>
      <c r="U3">
        <v>0</v>
      </c>
      <c r="V3" t="s">
        <v>41</v>
      </c>
      <c r="W3">
        <v>0</v>
      </c>
      <c r="X3">
        <v>0.94285714285714195</v>
      </c>
      <c r="Y3">
        <v>0</v>
      </c>
      <c r="Z3">
        <v>5.1764705882352899</v>
      </c>
      <c r="AA3">
        <v>9.2631578947368407</v>
      </c>
      <c r="AB3">
        <v>1</v>
      </c>
      <c r="AC3">
        <v>3.8470588235294101</v>
      </c>
    </row>
    <row r="4" spans="1:29" x14ac:dyDescent="0.35">
      <c r="A4" t="s">
        <v>42</v>
      </c>
      <c r="B4" t="s">
        <v>43</v>
      </c>
      <c r="C4" s="1">
        <v>45713</v>
      </c>
      <c r="D4" t="s">
        <v>44</v>
      </c>
      <c r="E4" s="2">
        <v>0.38541666666666669</v>
      </c>
      <c r="F4" t="s">
        <v>45</v>
      </c>
      <c r="G4">
        <v>69</v>
      </c>
      <c r="H4">
        <v>64</v>
      </c>
      <c r="I4">
        <v>18.399999999999999</v>
      </c>
      <c r="J4">
        <v>32</v>
      </c>
      <c r="K4" t="s">
        <v>46</v>
      </c>
      <c r="L4">
        <v>0</v>
      </c>
      <c r="M4" t="s">
        <v>34</v>
      </c>
      <c r="N4">
        <v>19</v>
      </c>
      <c r="O4">
        <v>16</v>
      </c>
      <c r="P4">
        <v>7.8</v>
      </c>
      <c r="Q4">
        <v>0</v>
      </c>
      <c r="R4">
        <v>9</v>
      </c>
      <c r="S4">
        <v>2</v>
      </c>
      <c r="T4">
        <v>1</v>
      </c>
      <c r="U4">
        <v>0</v>
      </c>
      <c r="V4" t="s">
        <v>47</v>
      </c>
      <c r="W4">
        <v>0</v>
      </c>
      <c r="X4">
        <v>0.84210526315789402</v>
      </c>
      <c r="Y4">
        <v>1</v>
      </c>
      <c r="Z4">
        <v>2.15625</v>
      </c>
      <c r="AA4">
        <v>3.75</v>
      </c>
      <c r="AB4">
        <v>5</v>
      </c>
      <c r="AC4">
        <v>8.6013888888888896</v>
      </c>
    </row>
    <row r="5" spans="1:29" x14ac:dyDescent="0.35">
      <c r="A5" t="s">
        <v>48</v>
      </c>
      <c r="B5" t="s">
        <v>49</v>
      </c>
      <c r="C5" s="1">
        <v>45668</v>
      </c>
      <c r="D5" t="s">
        <v>50</v>
      </c>
      <c r="E5" s="2">
        <v>0.64583333333333337</v>
      </c>
      <c r="F5" t="s">
        <v>32</v>
      </c>
      <c r="G5">
        <v>34</v>
      </c>
      <c r="H5">
        <v>31</v>
      </c>
      <c r="I5">
        <v>8.1999999999999993</v>
      </c>
      <c r="J5">
        <v>15</v>
      </c>
      <c r="K5" t="s">
        <v>51</v>
      </c>
      <c r="L5">
        <v>0</v>
      </c>
      <c r="M5" t="s">
        <v>52</v>
      </c>
      <c r="N5">
        <v>38</v>
      </c>
      <c r="O5">
        <v>37</v>
      </c>
      <c r="P5">
        <v>3.2</v>
      </c>
      <c r="Q5">
        <v>0</v>
      </c>
      <c r="R5">
        <v>15</v>
      </c>
      <c r="S5">
        <v>1</v>
      </c>
      <c r="T5">
        <v>5</v>
      </c>
      <c r="U5">
        <v>1</v>
      </c>
      <c r="V5" t="s">
        <v>35</v>
      </c>
      <c r="W5">
        <v>1</v>
      </c>
      <c r="X5">
        <v>0.97368421052631504</v>
      </c>
      <c r="Y5">
        <v>0</v>
      </c>
      <c r="Z5">
        <v>2.2666666666666599</v>
      </c>
      <c r="AA5">
        <v>4.1463414634146298</v>
      </c>
      <c r="AB5">
        <v>3</v>
      </c>
      <c r="AC5">
        <v>3.6937500000000001</v>
      </c>
    </row>
    <row r="6" spans="1:29" x14ac:dyDescent="0.35">
      <c r="A6" t="s">
        <v>53</v>
      </c>
      <c r="B6" t="s">
        <v>30</v>
      </c>
      <c r="C6" s="1">
        <v>45666</v>
      </c>
      <c r="D6" t="s">
        <v>54</v>
      </c>
      <c r="E6" s="2">
        <v>0.45833333333333331</v>
      </c>
      <c r="F6" t="s">
        <v>55</v>
      </c>
      <c r="G6">
        <v>45</v>
      </c>
      <c r="H6">
        <v>45</v>
      </c>
      <c r="I6">
        <v>10.1</v>
      </c>
      <c r="J6">
        <v>19</v>
      </c>
      <c r="K6" t="s">
        <v>33</v>
      </c>
      <c r="L6">
        <v>0</v>
      </c>
      <c r="M6" t="s">
        <v>34</v>
      </c>
      <c r="N6">
        <v>24</v>
      </c>
      <c r="O6">
        <v>22</v>
      </c>
      <c r="P6">
        <v>3</v>
      </c>
      <c r="Q6">
        <v>0</v>
      </c>
      <c r="R6">
        <v>11</v>
      </c>
      <c r="S6">
        <v>1</v>
      </c>
      <c r="T6">
        <v>3</v>
      </c>
      <c r="U6">
        <v>0</v>
      </c>
      <c r="V6" t="s">
        <v>35</v>
      </c>
      <c r="W6">
        <v>0</v>
      </c>
      <c r="X6">
        <v>0.91666666666666596</v>
      </c>
      <c r="Y6">
        <v>0</v>
      </c>
      <c r="Z6">
        <v>2.3684210526315699</v>
      </c>
      <c r="AA6">
        <v>4.4554455445544496</v>
      </c>
      <c r="AB6">
        <v>0</v>
      </c>
      <c r="AC6">
        <v>3.6613636363636299</v>
      </c>
    </row>
    <row r="7" spans="1:29" x14ac:dyDescent="0.35">
      <c r="A7" t="s">
        <v>56</v>
      </c>
      <c r="B7" t="s">
        <v>57</v>
      </c>
      <c r="C7" s="1">
        <v>45680</v>
      </c>
      <c r="D7" t="s">
        <v>54</v>
      </c>
      <c r="E7" s="2">
        <v>0.29166666666666669</v>
      </c>
      <c r="F7" t="s">
        <v>58</v>
      </c>
      <c r="G7">
        <v>120</v>
      </c>
      <c r="H7">
        <v>112</v>
      </c>
      <c r="I7">
        <v>14.2</v>
      </c>
      <c r="J7">
        <v>25</v>
      </c>
      <c r="K7" t="s">
        <v>46</v>
      </c>
      <c r="L7">
        <v>0</v>
      </c>
      <c r="M7" t="s">
        <v>34</v>
      </c>
      <c r="N7">
        <v>20</v>
      </c>
      <c r="O7">
        <v>17</v>
      </c>
      <c r="P7">
        <v>5</v>
      </c>
      <c r="Q7">
        <v>0</v>
      </c>
      <c r="R7">
        <v>7</v>
      </c>
      <c r="S7">
        <v>1</v>
      </c>
      <c r="T7">
        <v>3</v>
      </c>
      <c r="U7">
        <v>0</v>
      </c>
      <c r="V7" t="s">
        <v>47</v>
      </c>
      <c r="W7">
        <v>0</v>
      </c>
      <c r="X7">
        <v>0.85</v>
      </c>
      <c r="Y7">
        <v>0</v>
      </c>
      <c r="Z7">
        <v>4.8</v>
      </c>
      <c r="AA7">
        <v>8.4507042253521103</v>
      </c>
      <c r="AB7">
        <v>8</v>
      </c>
      <c r="AC7">
        <v>8.3255319148936096</v>
      </c>
    </row>
    <row r="8" spans="1:29" x14ac:dyDescent="0.35">
      <c r="A8" t="s">
        <v>59</v>
      </c>
      <c r="B8" t="s">
        <v>60</v>
      </c>
      <c r="C8" s="1">
        <v>45664</v>
      </c>
      <c r="D8" t="s">
        <v>44</v>
      </c>
      <c r="E8" s="2">
        <v>0.27083333333333331</v>
      </c>
      <c r="F8" t="s">
        <v>61</v>
      </c>
      <c r="G8">
        <v>56</v>
      </c>
      <c r="H8">
        <v>49</v>
      </c>
      <c r="I8">
        <v>12.5</v>
      </c>
      <c r="J8">
        <v>22</v>
      </c>
      <c r="K8" t="s">
        <v>51</v>
      </c>
      <c r="L8">
        <v>0</v>
      </c>
      <c r="M8" t="s">
        <v>34</v>
      </c>
      <c r="N8">
        <v>25</v>
      </c>
      <c r="O8">
        <v>25</v>
      </c>
      <c r="P8">
        <v>2.7</v>
      </c>
      <c r="Q8">
        <v>1</v>
      </c>
      <c r="R8">
        <v>6</v>
      </c>
      <c r="S8">
        <v>1</v>
      </c>
      <c r="T8">
        <v>1</v>
      </c>
      <c r="U8">
        <v>0</v>
      </c>
      <c r="V8" t="s">
        <v>35</v>
      </c>
      <c r="W8">
        <v>0</v>
      </c>
      <c r="X8">
        <v>1</v>
      </c>
      <c r="Y8">
        <v>0</v>
      </c>
      <c r="Z8">
        <v>2.5454545454545401</v>
      </c>
      <c r="AA8">
        <v>4.4800000000000004</v>
      </c>
      <c r="AB8">
        <v>7</v>
      </c>
      <c r="AC8">
        <v>3.4760869565217298</v>
      </c>
    </row>
    <row r="9" spans="1:29" x14ac:dyDescent="0.35">
      <c r="A9" t="s">
        <v>62</v>
      </c>
      <c r="B9" t="s">
        <v>60</v>
      </c>
      <c r="C9" s="1">
        <v>45662</v>
      </c>
      <c r="D9" t="s">
        <v>31</v>
      </c>
      <c r="E9" s="2">
        <v>0.30208333333333331</v>
      </c>
      <c r="F9" t="s">
        <v>63</v>
      </c>
      <c r="G9">
        <v>55</v>
      </c>
      <c r="H9">
        <v>55</v>
      </c>
      <c r="I9">
        <v>12.5</v>
      </c>
      <c r="J9">
        <v>22</v>
      </c>
      <c r="K9" t="s">
        <v>51</v>
      </c>
      <c r="L9">
        <v>0</v>
      </c>
      <c r="M9" t="s">
        <v>34</v>
      </c>
      <c r="N9">
        <v>19</v>
      </c>
      <c r="O9">
        <v>18</v>
      </c>
      <c r="P9">
        <v>4.4000000000000004</v>
      </c>
      <c r="Q9">
        <v>0</v>
      </c>
      <c r="R9">
        <v>7</v>
      </c>
      <c r="S9">
        <v>1</v>
      </c>
      <c r="T9">
        <v>6</v>
      </c>
      <c r="U9">
        <v>1</v>
      </c>
      <c r="V9" t="s">
        <v>47</v>
      </c>
      <c r="W9">
        <v>0</v>
      </c>
      <c r="X9">
        <v>0.94736842105263097</v>
      </c>
      <c r="Y9">
        <v>0</v>
      </c>
      <c r="Z9">
        <v>2.5</v>
      </c>
      <c r="AA9">
        <v>4.4000000000000004</v>
      </c>
      <c r="AB9">
        <v>0</v>
      </c>
      <c r="AC9">
        <v>3.4760869565217298</v>
      </c>
    </row>
    <row r="10" spans="1:29" x14ac:dyDescent="0.35">
      <c r="A10" t="s">
        <v>64</v>
      </c>
      <c r="B10" t="s">
        <v>65</v>
      </c>
      <c r="C10" s="1">
        <v>45669</v>
      </c>
      <c r="D10" t="s">
        <v>31</v>
      </c>
      <c r="E10" s="2">
        <v>0.34375</v>
      </c>
      <c r="F10" t="s">
        <v>55</v>
      </c>
      <c r="G10">
        <v>34</v>
      </c>
      <c r="H10">
        <v>33</v>
      </c>
      <c r="I10">
        <v>6.8</v>
      </c>
      <c r="J10">
        <v>12</v>
      </c>
      <c r="K10" t="s">
        <v>66</v>
      </c>
      <c r="L10">
        <v>0</v>
      </c>
      <c r="M10" t="s">
        <v>34</v>
      </c>
      <c r="N10">
        <v>38</v>
      </c>
      <c r="O10">
        <v>37</v>
      </c>
      <c r="P10">
        <v>1.5</v>
      </c>
      <c r="Q10">
        <v>0</v>
      </c>
      <c r="R10">
        <v>8</v>
      </c>
      <c r="S10">
        <v>1</v>
      </c>
      <c r="T10">
        <v>6</v>
      </c>
      <c r="U10">
        <v>1</v>
      </c>
      <c r="V10" t="s">
        <v>47</v>
      </c>
      <c r="W10">
        <v>0</v>
      </c>
      <c r="X10">
        <v>0.97368421052631504</v>
      </c>
      <c r="Y10">
        <v>0</v>
      </c>
      <c r="Z10">
        <v>2.8333333333333299</v>
      </c>
      <c r="AA10">
        <v>5</v>
      </c>
      <c r="AB10">
        <v>1</v>
      </c>
      <c r="AC10">
        <v>2.7611111111111102</v>
      </c>
    </row>
    <row r="11" spans="1:29" x14ac:dyDescent="0.35">
      <c r="A11" t="s">
        <v>67</v>
      </c>
      <c r="B11" t="s">
        <v>60</v>
      </c>
      <c r="C11" s="1">
        <v>45682</v>
      </c>
      <c r="D11" t="s">
        <v>50</v>
      </c>
      <c r="E11" s="2">
        <v>0.20833333333333334</v>
      </c>
      <c r="F11" t="s">
        <v>68</v>
      </c>
      <c r="G11">
        <v>50</v>
      </c>
      <c r="H11">
        <v>45</v>
      </c>
      <c r="I11">
        <v>12.5</v>
      </c>
      <c r="J11">
        <v>22</v>
      </c>
      <c r="K11" t="s">
        <v>51</v>
      </c>
      <c r="L11">
        <v>0</v>
      </c>
      <c r="M11" t="s">
        <v>69</v>
      </c>
      <c r="N11">
        <v>19</v>
      </c>
      <c r="O11">
        <v>18</v>
      </c>
      <c r="P11">
        <v>0.9</v>
      </c>
      <c r="Q11">
        <v>0</v>
      </c>
      <c r="R11">
        <v>5</v>
      </c>
      <c r="S11">
        <v>1</v>
      </c>
      <c r="T11">
        <v>5</v>
      </c>
      <c r="U11">
        <v>1</v>
      </c>
      <c r="V11" t="s">
        <v>35</v>
      </c>
      <c r="W11">
        <v>1</v>
      </c>
      <c r="X11">
        <v>0.94736842105263097</v>
      </c>
      <c r="Y11">
        <v>0</v>
      </c>
      <c r="Z11">
        <v>2.2727272727272698</v>
      </c>
      <c r="AA11">
        <v>4</v>
      </c>
      <c r="AB11">
        <v>5</v>
      </c>
      <c r="AC11">
        <v>3.4760869565217298</v>
      </c>
    </row>
    <row r="12" spans="1:29" x14ac:dyDescent="0.35">
      <c r="A12" t="s">
        <v>70</v>
      </c>
      <c r="B12" t="s">
        <v>30</v>
      </c>
      <c r="C12" s="1">
        <v>45713</v>
      </c>
      <c r="D12" t="s">
        <v>44</v>
      </c>
      <c r="E12" s="2">
        <v>0.6875</v>
      </c>
      <c r="F12" t="s">
        <v>45</v>
      </c>
      <c r="G12">
        <v>44</v>
      </c>
      <c r="H12">
        <v>38</v>
      </c>
      <c r="I12">
        <v>10.1</v>
      </c>
      <c r="J12">
        <v>19</v>
      </c>
      <c r="K12" t="s">
        <v>33</v>
      </c>
      <c r="L12">
        <v>0</v>
      </c>
      <c r="M12" t="s">
        <v>34</v>
      </c>
      <c r="N12">
        <v>39</v>
      </c>
      <c r="O12">
        <v>38</v>
      </c>
      <c r="P12">
        <v>6</v>
      </c>
      <c r="Q12">
        <v>0</v>
      </c>
      <c r="R12">
        <v>16</v>
      </c>
      <c r="S12">
        <v>2</v>
      </c>
      <c r="T12">
        <v>1</v>
      </c>
      <c r="U12">
        <v>0</v>
      </c>
      <c r="V12" t="s">
        <v>35</v>
      </c>
      <c r="W12">
        <v>0</v>
      </c>
      <c r="X12">
        <v>0.97435897435897401</v>
      </c>
      <c r="Y12">
        <v>1</v>
      </c>
      <c r="Z12">
        <v>2.3157894736842102</v>
      </c>
      <c r="AA12">
        <v>4.3564356435643496</v>
      </c>
      <c r="AB12">
        <v>6</v>
      </c>
      <c r="AC12">
        <v>3.6613636363636299</v>
      </c>
    </row>
    <row r="13" spans="1:29" x14ac:dyDescent="0.35">
      <c r="A13" t="s">
        <v>71</v>
      </c>
      <c r="B13" t="s">
        <v>72</v>
      </c>
      <c r="C13" s="1">
        <v>45692</v>
      </c>
      <c r="D13" t="s">
        <v>44</v>
      </c>
      <c r="E13" s="2">
        <v>0.45833333333333331</v>
      </c>
      <c r="F13" t="s">
        <v>73</v>
      </c>
      <c r="G13">
        <v>29</v>
      </c>
      <c r="H13">
        <v>27</v>
      </c>
      <c r="I13">
        <v>11.6</v>
      </c>
      <c r="J13">
        <v>21</v>
      </c>
      <c r="K13" t="s">
        <v>33</v>
      </c>
      <c r="L13">
        <v>0</v>
      </c>
      <c r="M13" t="s">
        <v>34</v>
      </c>
      <c r="N13">
        <v>36</v>
      </c>
      <c r="O13">
        <v>35</v>
      </c>
      <c r="P13">
        <v>1.2</v>
      </c>
      <c r="Q13">
        <v>0</v>
      </c>
      <c r="R13">
        <v>11</v>
      </c>
      <c r="S13">
        <v>2</v>
      </c>
      <c r="T13">
        <v>1</v>
      </c>
      <c r="U13">
        <v>0</v>
      </c>
      <c r="V13" t="s">
        <v>35</v>
      </c>
      <c r="W13">
        <v>0</v>
      </c>
      <c r="X13">
        <v>0.97222222222222199</v>
      </c>
      <c r="Y13">
        <v>0</v>
      </c>
      <c r="Z13">
        <v>1.38095238095238</v>
      </c>
      <c r="AA13">
        <v>2.5</v>
      </c>
      <c r="AB13">
        <v>2</v>
      </c>
      <c r="AC13">
        <v>2.80217391304347</v>
      </c>
    </row>
    <row r="14" spans="1:29" x14ac:dyDescent="0.35">
      <c r="A14" t="s">
        <v>74</v>
      </c>
      <c r="B14" t="s">
        <v>57</v>
      </c>
      <c r="C14" s="1">
        <v>45667</v>
      </c>
      <c r="D14" t="s">
        <v>38</v>
      </c>
      <c r="E14" s="2">
        <v>0.30208333333333331</v>
      </c>
      <c r="F14" t="s">
        <v>73</v>
      </c>
      <c r="G14">
        <v>71</v>
      </c>
      <c r="H14">
        <v>62</v>
      </c>
      <c r="I14">
        <v>14.2</v>
      </c>
      <c r="J14">
        <v>25</v>
      </c>
      <c r="K14" t="s">
        <v>46</v>
      </c>
      <c r="L14">
        <v>0</v>
      </c>
      <c r="M14" t="s">
        <v>34</v>
      </c>
      <c r="N14">
        <v>23</v>
      </c>
      <c r="O14">
        <v>20</v>
      </c>
      <c r="P14">
        <v>9.1</v>
      </c>
      <c r="Q14">
        <v>0</v>
      </c>
      <c r="R14">
        <v>7</v>
      </c>
      <c r="S14">
        <v>1</v>
      </c>
      <c r="T14">
        <v>4</v>
      </c>
      <c r="U14">
        <v>0</v>
      </c>
      <c r="V14" t="s">
        <v>47</v>
      </c>
      <c r="W14">
        <v>0</v>
      </c>
      <c r="X14">
        <v>0.86956521739130399</v>
      </c>
      <c r="Y14">
        <v>1</v>
      </c>
      <c r="Z14">
        <v>2.84</v>
      </c>
      <c r="AA14">
        <v>5</v>
      </c>
      <c r="AB14">
        <v>9</v>
      </c>
      <c r="AC14">
        <v>8.3255319148936096</v>
      </c>
    </row>
    <row r="15" spans="1:29" x14ac:dyDescent="0.35">
      <c r="A15" t="s">
        <v>75</v>
      </c>
      <c r="B15" t="s">
        <v>60</v>
      </c>
      <c r="C15" s="1">
        <v>45664</v>
      </c>
      <c r="D15" t="s">
        <v>44</v>
      </c>
      <c r="E15" s="2">
        <v>0.33333333333333331</v>
      </c>
      <c r="F15" t="s">
        <v>76</v>
      </c>
      <c r="G15">
        <v>87</v>
      </c>
      <c r="H15">
        <v>76</v>
      </c>
      <c r="I15">
        <v>12.5</v>
      </c>
      <c r="J15">
        <v>22</v>
      </c>
      <c r="K15" t="s">
        <v>51</v>
      </c>
      <c r="L15">
        <v>0</v>
      </c>
      <c r="M15" t="s">
        <v>34</v>
      </c>
      <c r="N15">
        <v>25</v>
      </c>
      <c r="O15">
        <v>25</v>
      </c>
      <c r="P15">
        <v>2.7</v>
      </c>
      <c r="Q15">
        <v>1</v>
      </c>
      <c r="R15">
        <v>8</v>
      </c>
      <c r="S15">
        <v>1</v>
      </c>
      <c r="T15">
        <v>1</v>
      </c>
      <c r="U15">
        <v>0</v>
      </c>
      <c r="V15" t="s">
        <v>47</v>
      </c>
      <c r="W15">
        <v>0</v>
      </c>
      <c r="X15">
        <v>1</v>
      </c>
      <c r="Y15">
        <v>0</v>
      </c>
      <c r="Z15">
        <v>3.9545454545454501</v>
      </c>
      <c r="AA15">
        <v>6.96</v>
      </c>
      <c r="AB15">
        <v>11</v>
      </c>
      <c r="AC15">
        <v>3.4760869565217298</v>
      </c>
    </row>
    <row r="16" spans="1:29" x14ac:dyDescent="0.35">
      <c r="A16" t="s">
        <v>77</v>
      </c>
      <c r="B16" t="s">
        <v>43</v>
      </c>
      <c r="C16" s="1">
        <v>45672</v>
      </c>
      <c r="D16" t="s">
        <v>78</v>
      </c>
      <c r="E16" s="2">
        <v>0.25</v>
      </c>
      <c r="F16" t="s">
        <v>45</v>
      </c>
      <c r="G16">
        <v>70</v>
      </c>
      <c r="H16">
        <v>66</v>
      </c>
      <c r="I16">
        <v>18.399999999999999</v>
      </c>
      <c r="J16">
        <v>32</v>
      </c>
      <c r="K16" t="s">
        <v>46</v>
      </c>
      <c r="L16">
        <v>0</v>
      </c>
      <c r="M16" t="s">
        <v>34</v>
      </c>
      <c r="N16">
        <v>30</v>
      </c>
      <c r="O16">
        <v>26</v>
      </c>
      <c r="P16">
        <v>5.7</v>
      </c>
      <c r="Q16">
        <v>0</v>
      </c>
      <c r="R16">
        <v>6</v>
      </c>
      <c r="S16">
        <v>1</v>
      </c>
      <c r="T16">
        <v>2</v>
      </c>
      <c r="U16">
        <v>0</v>
      </c>
      <c r="V16" t="s">
        <v>35</v>
      </c>
      <c r="W16">
        <v>0</v>
      </c>
      <c r="X16">
        <v>0.86666666666666603</v>
      </c>
      <c r="Y16">
        <v>1</v>
      </c>
      <c r="Z16">
        <v>2.1875</v>
      </c>
      <c r="AA16">
        <v>3.8043478260869499</v>
      </c>
      <c r="AB16">
        <v>4</v>
      </c>
      <c r="AC16">
        <v>8.6013888888888896</v>
      </c>
    </row>
    <row r="17" spans="1:29" x14ac:dyDescent="0.35">
      <c r="A17" t="s">
        <v>79</v>
      </c>
      <c r="B17" t="s">
        <v>72</v>
      </c>
      <c r="C17" s="1">
        <v>45674</v>
      </c>
      <c r="D17" t="s">
        <v>38</v>
      </c>
      <c r="E17" s="2">
        <v>0.3125</v>
      </c>
      <c r="F17" t="s">
        <v>80</v>
      </c>
      <c r="G17">
        <v>70</v>
      </c>
      <c r="H17">
        <v>68</v>
      </c>
      <c r="I17">
        <v>11.6</v>
      </c>
      <c r="J17">
        <v>21</v>
      </c>
      <c r="K17" t="s">
        <v>33</v>
      </c>
      <c r="L17">
        <v>0</v>
      </c>
      <c r="M17" t="s">
        <v>34</v>
      </c>
      <c r="N17">
        <v>37</v>
      </c>
      <c r="O17">
        <v>37</v>
      </c>
      <c r="P17">
        <v>3.1</v>
      </c>
      <c r="Q17">
        <v>0</v>
      </c>
      <c r="R17">
        <v>7</v>
      </c>
      <c r="S17">
        <v>1</v>
      </c>
      <c r="T17">
        <v>4</v>
      </c>
      <c r="U17">
        <v>0</v>
      </c>
      <c r="V17" t="s">
        <v>47</v>
      </c>
      <c r="W17">
        <v>0</v>
      </c>
      <c r="X17">
        <v>1</v>
      </c>
      <c r="Y17">
        <v>0</v>
      </c>
      <c r="Z17">
        <v>3.3333333333333299</v>
      </c>
      <c r="AA17">
        <v>6.0344827586206797</v>
      </c>
      <c r="AB17">
        <v>2</v>
      </c>
      <c r="AC17">
        <v>2.80217391304347</v>
      </c>
    </row>
    <row r="18" spans="1:29" x14ac:dyDescent="0.35">
      <c r="A18" t="s">
        <v>81</v>
      </c>
      <c r="B18" t="s">
        <v>49</v>
      </c>
      <c r="C18" s="1">
        <v>45692</v>
      </c>
      <c r="D18" t="s">
        <v>44</v>
      </c>
      <c r="E18" s="2">
        <v>0.21875</v>
      </c>
      <c r="F18" t="s">
        <v>82</v>
      </c>
      <c r="G18">
        <v>42</v>
      </c>
      <c r="H18">
        <v>36</v>
      </c>
      <c r="I18">
        <v>8.1999999999999993</v>
      </c>
      <c r="J18">
        <v>15</v>
      </c>
      <c r="K18" t="s">
        <v>51</v>
      </c>
      <c r="L18">
        <v>0</v>
      </c>
      <c r="M18" t="s">
        <v>34</v>
      </c>
      <c r="N18">
        <v>28</v>
      </c>
      <c r="O18">
        <v>28</v>
      </c>
      <c r="P18">
        <v>4.2</v>
      </c>
      <c r="Q18">
        <v>0</v>
      </c>
      <c r="R18">
        <v>5</v>
      </c>
      <c r="S18">
        <v>2</v>
      </c>
      <c r="T18">
        <v>1</v>
      </c>
      <c r="U18">
        <v>0</v>
      </c>
      <c r="V18" t="s">
        <v>35</v>
      </c>
      <c r="W18">
        <v>0</v>
      </c>
      <c r="X18">
        <v>1</v>
      </c>
      <c r="Y18">
        <v>0</v>
      </c>
      <c r="Z18">
        <v>2.8</v>
      </c>
      <c r="AA18">
        <v>5.1219512195121899</v>
      </c>
      <c r="AB18">
        <v>6</v>
      </c>
      <c r="AC18">
        <v>3.6937500000000001</v>
      </c>
    </row>
    <row r="19" spans="1:29" x14ac:dyDescent="0.35">
      <c r="A19" t="s">
        <v>83</v>
      </c>
      <c r="B19" t="s">
        <v>72</v>
      </c>
      <c r="C19" s="1">
        <v>45714</v>
      </c>
      <c r="D19" t="s">
        <v>78</v>
      </c>
      <c r="E19" s="2">
        <v>0.65625</v>
      </c>
      <c r="F19" t="s">
        <v>84</v>
      </c>
      <c r="G19">
        <v>43</v>
      </c>
      <c r="H19">
        <v>43</v>
      </c>
      <c r="I19">
        <v>11.6</v>
      </c>
      <c r="J19">
        <v>21</v>
      </c>
      <c r="K19" t="s">
        <v>33</v>
      </c>
      <c r="L19">
        <v>0</v>
      </c>
      <c r="M19" t="s">
        <v>34</v>
      </c>
      <c r="N19">
        <v>30</v>
      </c>
      <c r="O19">
        <v>29</v>
      </c>
      <c r="P19">
        <v>4</v>
      </c>
      <c r="Q19">
        <v>0</v>
      </c>
      <c r="R19">
        <v>15</v>
      </c>
      <c r="S19">
        <v>2</v>
      </c>
      <c r="T19">
        <v>2</v>
      </c>
      <c r="U19">
        <v>0</v>
      </c>
      <c r="V19" t="s">
        <v>35</v>
      </c>
      <c r="W19">
        <v>0</v>
      </c>
      <c r="X19">
        <v>0.96666666666666601</v>
      </c>
      <c r="Y19">
        <v>0</v>
      </c>
      <c r="Z19">
        <v>2.0476190476190399</v>
      </c>
      <c r="AA19">
        <v>3.7068965517241299</v>
      </c>
      <c r="AB19">
        <v>0</v>
      </c>
      <c r="AC19">
        <v>2.80217391304347</v>
      </c>
    </row>
    <row r="20" spans="1:29" x14ac:dyDescent="0.35">
      <c r="A20" t="s">
        <v>85</v>
      </c>
      <c r="B20" t="s">
        <v>57</v>
      </c>
      <c r="C20" s="1">
        <v>45679</v>
      </c>
      <c r="D20" t="s">
        <v>78</v>
      </c>
      <c r="E20" s="2">
        <v>0.83333333333333337</v>
      </c>
      <c r="F20" t="s">
        <v>68</v>
      </c>
      <c r="G20">
        <v>60</v>
      </c>
      <c r="H20">
        <v>59</v>
      </c>
      <c r="I20">
        <v>14.2</v>
      </c>
      <c r="J20">
        <v>25</v>
      </c>
      <c r="K20" t="s">
        <v>46</v>
      </c>
      <c r="L20">
        <v>0</v>
      </c>
      <c r="M20" t="s">
        <v>34</v>
      </c>
      <c r="N20">
        <v>35</v>
      </c>
      <c r="O20">
        <v>31</v>
      </c>
      <c r="P20">
        <v>9.8000000000000007</v>
      </c>
      <c r="Q20">
        <v>0</v>
      </c>
      <c r="R20">
        <v>20</v>
      </c>
      <c r="S20">
        <v>1</v>
      </c>
      <c r="T20">
        <v>2</v>
      </c>
      <c r="U20">
        <v>0</v>
      </c>
      <c r="V20" t="s">
        <v>35</v>
      </c>
      <c r="W20">
        <v>0</v>
      </c>
      <c r="X20">
        <v>0.88571428571428501</v>
      </c>
      <c r="Y20">
        <v>1</v>
      </c>
      <c r="Z20">
        <v>2.4</v>
      </c>
      <c r="AA20">
        <v>4.2253521126760498</v>
      </c>
      <c r="AB20">
        <v>1</v>
      </c>
      <c r="AC20">
        <v>8.3255319148936096</v>
      </c>
    </row>
    <row r="21" spans="1:29" x14ac:dyDescent="0.35">
      <c r="A21" t="s">
        <v>86</v>
      </c>
      <c r="B21" t="s">
        <v>43</v>
      </c>
      <c r="C21" s="1">
        <v>45698</v>
      </c>
      <c r="D21" t="s">
        <v>87</v>
      </c>
      <c r="E21" s="2">
        <v>0.27083333333333331</v>
      </c>
      <c r="F21" t="s">
        <v>76</v>
      </c>
      <c r="G21">
        <v>74</v>
      </c>
      <c r="H21">
        <v>65</v>
      </c>
      <c r="I21">
        <v>18.399999999999999</v>
      </c>
      <c r="J21">
        <v>32</v>
      </c>
      <c r="K21" t="s">
        <v>46</v>
      </c>
      <c r="L21">
        <v>0</v>
      </c>
      <c r="M21" t="s">
        <v>34</v>
      </c>
      <c r="N21">
        <v>30</v>
      </c>
      <c r="O21">
        <v>28</v>
      </c>
      <c r="P21">
        <v>5</v>
      </c>
      <c r="Q21">
        <v>0</v>
      </c>
      <c r="R21">
        <v>6</v>
      </c>
      <c r="S21">
        <v>2</v>
      </c>
      <c r="T21">
        <v>0</v>
      </c>
      <c r="U21">
        <v>0</v>
      </c>
      <c r="V21" t="s">
        <v>35</v>
      </c>
      <c r="W21">
        <v>0</v>
      </c>
      <c r="X21">
        <v>0.93333333333333302</v>
      </c>
      <c r="Y21">
        <v>0</v>
      </c>
      <c r="Z21">
        <v>2.3125</v>
      </c>
      <c r="AA21">
        <v>4.0217391304347796</v>
      </c>
      <c r="AB21">
        <v>9</v>
      </c>
      <c r="AC21">
        <v>8.6013888888888896</v>
      </c>
    </row>
    <row r="22" spans="1:29" x14ac:dyDescent="0.35">
      <c r="A22" t="s">
        <v>88</v>
      </c>
      <c r="B22" t="s">
        <v>49</v>
      </c>
      <c r="C22" s="1">
        <v>45661</v>
      </c>
      <c r="D22" t="s">
        <v>50</v>
      </c>
      <c r="E22" s="2">
        <v>0.55208333333333337</v>
      </c>
      <c r="F22" t="s">
        <v>89</v>
      </c>
      <c r="G22">
        <v>21</v>
      </c>
      <c r="H22">
        <v>21</v>
      </c>
      <c r="I22">
        <v>8.1999999999999993</v>
      </c>
      <c r="J22">
        <v>15</v>
      </c>
      <c r="K22" t="s">
        <v>51</v>
      </c>
      <c r="L22">
        <v>0</v>
      </c>
      <c r="M22" t="s">
        <v>34</v>
      </c>
      <c r="N22">
        <v>24</v>
      </c>
      <c r="O22">
        <v>23</v>
      </c>
      <c r="P22">
        <v>5.6</v>
      </c>
      <c r="Q22">
        <v>0</v>
      </c>
      <c r="R22">
        <v>13</v>
      </c>
      <c r="S22">
        <v>1</v>
      </c>
      <c r="T22">
        <v>5</v>
      </c>
      <c r="U22">
        <v>1</v>
      </c>
      <c r="V22" t="s">
        <v>35</v>
      </c>
      <c r="W22">
        <v>0</v>
      </c>
      <c r="X22">
        <v>0.95833333333333304</v>
      </c>
      <c r="Y22">
        <v>1</v>
      </c>
      <c r="Z22">
        <v>1.4</v>
      </c>
      <c r="AA22">
        <v>2.5609756097560901</v>
      </c>
      <c r="AB22">
        <v>0</v>
      </c>
      <c r="AC22">
        <v>3.6937500000000001</v>
      </c>
    </row>
    <row r="23" spans="1:29" x14ac:dyDescent="0.35">
      <c r="A23" t="s">
        <v>90</v>
      </c>
      <c r="B23" t="s">
        <v>43</v>
      </c>
      <c r="C23" s="1">
        <v>45716</v>
      </c>
      <c r="D23" t="s">
        <v>38</v>
      </c>
      <c r="E23" s="2">
        <v>0.34375</v>
      </c>
      <c r="F23" t="s">
        <v>39</v>
      </c>
      <c r="G23">
        <v>122</v>
      </c>
      <c r="H23">
        <v>106</v>
      </c>
      <c r="I23">
        <v>18.399999999999999</v>
      </c>
      <c r="J23">
        <v>32</v>
      </c>
      <c r="K23" t="s">
        <v>46</v>
      </c>
      <c r="L23">
        <v>0</v>
      </c>
      <c r="M23" t="s">
        <v>34</v>
      </c>
      <c r="N23">
        <v>23</v>
      </c>
      <c r="O23">
        <v>20</v>
      </c>
      <c r="P23">
        <v>11</v>
      </c>
      <c r="Q23">
        <v>0</v>
      </c>
      <c r="R23">
        <v>8</v>
      </c>
      <c r="S23">
        <v>2</v>
      </c>
      <c r="T23">
        <v>4</v>
      </c>
      <c r="U23">
        <v>0</v>
      </c>
      <c r="V23" t="s">
        <v>47</v>
      </c>
      <c r="W23">
        <v>0</v>
      </c>
      <c r="X23">
        <v>0.86956521739130399</v>
      </c>
      <c r="Y23">
        <v>1</v>
      </c>
      <c r="Z23">
        <v>3.8125</v>
      </c>
      <c r="AA23">
        <v>6.63043478260869</v>
      </c>
      <c r="AB23">
        <v>16</v>
      </c>
      <c r="AC23">
        <v>8.6013888888888896</v>
      </c>
    </row>
    <row r="24" spans="1:29" x14ac:dyDescent="0.35">
      <c r="A24" t="s">
        <v>91</v>
      </c>
      <c r="B24" t="s">
        <v>30</v>
      </c>
      <c r="C24" s="1">
        <v>45674</v>
      </c>
      <c r="D24" t="s">
        <v>38</v>
      </c>
      <c r="E24" s="2">
        <v>0.55208333333333337</v>
      </c>
      <c r="F24" t="s">
        <v>39</v>
      </c>
      <c r="G24">
        <v>50</v>
      </c>
      <c r="H24">
        <v>46</v>
      </c>
      <c r="I24">
        <v>10.1</v>
      </c>
      <c r="J24">
        <v>19</v>
      </c>
      <c r="K24" t="s">
        <v>33</v>
      </c>
      <c r="L24">
        <v>0</v>
      </c>
      <c r="M24" t="s">
        <v>34</v>
      </c>
      <c r="N24">
        <v>19</v>
      </c>
      <c r="O24">
        <v>18</v>
      </c>
      <c r="P24">
        <v>2.9</v>
      </c>
      <c r="Q24">
        <v>0</v>
      </c>
      <c r="R24">
        <v>13</v>
      </c>
      <c r="S24">
        <v>1</v>
      </c>
      <c r="T24">
        <v>4</v>
      </c>
      <c r="U24">
        <v>0</v>
      </c>
      <c r="V24" t="s">
        <v>35</v>
      </c>
      <c r="W24">
        <v>0</v>
      </c>
      <c r="X24">
        <v>0.94736842105263097</v>
      </c>
      <c r="Y24">
        <v>0</v>
      </c>
      <c r="Z24">
        <v>2.6315789473684199</v>
      </c>
      <c r="AA24">
        <v>4.9504950495049496</v>
      </c>
      <c r="AB24">
        <v>4</v>
      </c>
      <c r="AC24">
        <v>3.6613636363636299</v>
      </c>
    </row>
    <row r="25" spans="1:29" x14ac:dyDescent="0.35">
      <c r="A25" t="s">
        <v>92</v>
      </c>
      <c r="B25" t="s">
        <v>57</v>
      </c>
      <c r="C25" s="1">
        <v>45696</v>
      </c>
      <c r="D25" t="s">
        <v>50</v>
      </c>
      <c r="E25" s="2">
        <v>0.67708333333333337</v>
      </c>
      <c r="F25" t="s">
        <v>82</v>
      </c>
      <c r="G25">
        <v>53</v>
      </c>
      <c r="H25">
        <v>52</v>
      </c>
      <c r="I25">
        <v>14.2</v>
      </c>
      <c r="J25">
        <v>25</v>
      </c>
      <c r="K25" t="s">
        <v>46</v>
      </c>
      <c r="L25">
        <v>0</v>
      </c>
      <c r="M25" t="s">
        <v>52</v>
      </c>
      <c r="N25">
        <v>34</v>
      </c>
      <c r="O25">
        <v>30</v>
      </c>
      <c r="P25">
        <v>14.8</v>
      </c>
      <c r="Q25">
        <v>0</v>
      </c>
      <c r="R25">
        <v>16</v>
      </c>
      <c r="S25">
        <v>2</v>
      </c>
      <c r="T25">
        <v>5</v>
      </c>
      <c r="U25">
        <v>1</v>
      </c>
      <c r="V25" t="s">
        <v>35</v>
      </c>
      <c r="W25">
        <v>1</v>
      </c>
      <c r="X25">
        <v>0.88235294117647001</v>
      </c>
      <c r="Y25">
        <v>1</v>
      </c>
      <c r="Z25">
        <v>2.12</v>
      </c>
      <c r="AA25">
        <v>3.7323943661971799</v>
      </c>
      <c r="AB25">
        <v>1</v>
      </c>
      <c r="AC25">
        <v>8.3255319148936096</v>
      </c>
    </row>
    <row r="26" spans="1:29" x14ac:dyDescent="0.35">
      <c r="A26" t="s">
        <v>93</v>
      </c>
      <c r="B26" t="s">
        <v>49</v>
      </c>
      <c r="C26" s="1">
        <v>45661</v>
      </c>
      <c r="D26" t="s">
        <v>50</v>
      </c>
      <c r="E26" s="2">
        <v>0.32291666666666669</v>
      </c>
      <c r="F26" t="s">
        <v>45</v>
      </c>
      <c r="G26">
        <v>54</v>
      </c>
      <c r="H26">
        <v>52</v>
      </c>
      <c r="I26">
        <v>8.1999999999999993</v>
      </c>
      <c r="J26">
        <v>15</v>
      </c>
      <c r="K26" t="s">
        <v>51</v>
      </c>
      <c r="L26">
        <v>0</v>
      </c>
      <c r="M26" t="s">
        <v>34</v>
      </c>
      <c r="N26">
        <v>24</v>
      </c>
      <c r="O26">
        <v>23</v>
      </c>
      <c r="P26">
        <v>5.6</v>
      </c>
      <c r="Q26">
        <v>0</v>
      </c>
      <c r="R26">
        <v>7</v>
      </c>
      <c r="S26">
        <v>1</v>
      </c>
      <c r="T26">
        <v>5</v>
      </c>
      <c r="U26">
        <v>1</v>
      </c>
      <c r="V26" t="s">
        <v>47</v>
      </c>
      <c r="W26">
        <v>0</v>
      </c>
      <c r="X26">
        <v>0.95833333333333304</v>
      </c>
      <c r="Y26">
        <v>1</v>
      </c>
      <c r="Z26">
        <v>3.6</v>
      </c>
      <c r="AA26">
        <v>6.58536585365853</v>
      </c>
      <c r="AB26">
        <v>2</v>
      </c>
      <c r="AC26">
        <v>3.6937500000000001</v>
      </c>
    </row>
    <row r="27" spans="1:29" x14ac:dyDescent="0.35">
      <c r="A27" t="s">
        <v>94</v>
      </c>
      <c r="B27" t="s">
        <v>65</v>
      </c>
      <c r="C27" s="1">
        <v>45682</v>
      </c>
      <c r="D27" t="s">
        <v>50</v>
      </c>
      <c r="E27" s="2">
        <v>0.40625</v>
      </c>
      <c r="F27" t="s">
        <v>39</v>
      </c>
      <c r="G27">
        <v>69</v>
      </c>
      <c r="H27">
        <v>68</v>
      </c>
      <c r="I27">
        <v>6.8</v>
      </c>
      <c r="J27">
        <v>12</v>
      </c>
      <c r="K27" t="s">
        <v>66</v>
      </c>
      <c r="L27">
        <v>0</v>
      </c>
      <c r="M27" t="s">
        <v>69</v>
      </c>
      <c r="N27">
        <v>22</v>
      </c>
      <c r="O27">
        <v>22</v>
      </c>
      <c r="P27">
        <v>1.3</v>
      </c>
      <c r="Q27">
        <v>0</v>
      </c>
      <c r="R27">
        <v>9</v>
      </c>
      <c r="S27">
        <v>1</v>
      </c>
      <c r="T27">
        <v>5</v>
      </c>
      <c r="U27">
        <v>1</v>
      </c>
      <c r="V27" t="s">
        <v>47</v>
      </c>
      <c r="W27">
        <v>1</v>
      </c>
      <c r="X27">
        <v>1</v>
      </c>
      <c r="Y27">
        <v>0</v>
      </c>
      <c r="Z27">
        <v>5.75</v>
      </c>
      <c r="AA27">
        <v>10.147058823529401</v>
      </c>
      <c r="AB27">
        <v>1</v>
      </c>
      <c r="AC27">
        <v>2.7611111111111102</v>
      </c>
    </row>
    <row r="28" spans="1:29" x14ac:dyDescent="0.35">
      <c r="A28" t="s">
        <v>95</v>
      </c>
      <c r="B28" t="s">
        <v>37</v>
      </c>
      <c r="C28" s="1">
        <v>45697</v>
      </c>
      <c r="D28" t="s">
        <v>31</v>
      </c>
      <c r="E28" s="2">
        <v>0.33333333333333331</v>
      </c>
      <c r="F28" t="s">
        <v>55</v>
      </c>
      <c r="G28">
        <v>49</v>
      </c>
      <c r="H28">
        <v>46</v>
      </c>
      <c r="I28">
        <v>9.5</v>
      </c>
      <c r="J28">
        <v>17</v>
      </c>
      <c r="K28" t="s">
        <v>40</v>
      </c>
      <c r="L28">
        <v>0</v>
      </c>
      <c r="M28" t="s">
        <v>34</v>
      </c>
      <c r="N28">
        <v>31</v>
      </c>
      <c r="O28">
        <v>30</v>
      </c>
      <c r="P28">
        <v>4.5999999999999996</v>
      </c>
      <c r="Q28">
        <v>0</v>
      </c>
      <c r="R28">
        <v>8</v>
      </c>
      <c r="S28">
        <v>2</v>
      </c>
      <c r="T28">
        <v>6</v>
      </c>
      <c r="U28">
        <v>1</v>
      </c>
      <c r="V28" t="s">
        <v>47</v>
      </c>
      <c r="W28">
        <v>0</v>
      </c>
      <c r="X28">
        <v>0.967741935483871</v>
      </c>
      <c r="Y28">
        <v>0</v>
      </c>
      <c r="Z28">
        <v>2.8823529411764701</v>
      </c>
      <c r="AA28">
        <v>5.1578947368421</v>
      </c>
      <c r="AB28">
        <v>3</v>
      </c>
      <c r="AC28">
        <v>3.8470588235294101</v>
      </c>
    </row>
    <row r="29" spans="1:29" x14ac:dyDescent="0.35">
      <c r="A29" t="s">
        <v>96</v>
      </c>
      <c r="B29" t="s">
        <v>37</v>
      </c>
      <c r="C29" s="1">
        <v>45696</v>
      </c>
      <c r="D29" t="s">
        <v>50</v>
      </c>
      <c r="E29" s="2">
        <v>0.78125</v>
      </c>
      <c r="F29" t="s">
        <v>97</v>
      </c>
      <c r="G29">
        <v>83</v>
      </c>
      <c r="H29">
        <v>73</v>
      </c>
      <c r="I29">
        <v>9.5</v>
      </c>
      <c r="J29">
        <v>17</v>
      </c>
      <c r="K29" t="s">
        <v>40</v>
      </c>
      <c r="L29">
        <v>0</v>
      </c>
      <c r="M29" t="s">
        <v>52</v>
      </c>
      <c r="N29">
        <v>28</v>
      </c>
      <c r="O29">
        <v>26</v>
      </c>
      <c r="P29">
        <v>0.6</v>
      </c>
      <c r="Q29">
        <v>0</v>
      </c>
      <c r="R29">
        <v>18</v>
      </c>
      <c r="S29">
        <v>2</v>
      </c>
      <c r="T29">
        <v>5</v>
      </c>
      <c r="U29">
        <v>1</v>
      </c>
      <c r="V29" t="s">
        <v>41</v>
      </c>
      <c r="W29">
        <v>1</v>
      </c>
      <c r="X29">
        <v>0.92857142857142805</v>
      </c>
      <c r="Y29">
        <v>0</v>
      </c>
      <c r="Z29">
        <v>4.8823529411764701</v>
      </c>
      <c r="AA29">
        <v>8.7368421052631504</v>
      </c>
      <c r="AB29">
        <v>10</v>
      </c>
      <c r="AC29">
        <v>3.8470588235294101</v>
      </c>
    </row>
    <row r="30" spans="1:29" x14ac:dyDescent="0.35">
      <c r="A30" t="s">
        <v>98</v>
      </c>
      <c r="B30" t="s">
        <v>72</v>
      </c>
      <c r="C30" s="1">
        <v>45674</v>
      </c>
      <c r="D30" t="s">
        <v>38</v>
      </c>
      <c r="E30" s="2">
        <v>0.30208333333333331</v>
      </c>
      <c r="F30" t="s">
        <v>82</v>
      </c>
      <c r="G30">
        <v>96</v>
      </c>
      <c r="H30">
        <v>90</v>
      </c>
      <c r="I30">
        <v>11.6</v>
      </c>
      <c r="J30">
        <v>21</v>
      </c>
      <c r="K30" t="s">
        <v>33</v>
      </c>
      <c r="L30">
        <v>0</v>
      </c>
      <c r="M30" t="s">
        <v>34</v>
      </c>
      <c r="N30">
        <v>37</v>
      </c>
      <c r="O30">
        <v>37</v>
      </c>
      <c r="P30">
        <v>3.1</v>
      </c>
      <c r="Q30">
        <v>0</v>
      </c>
      <c r="R30">
        <v>7</v>
      </c>
      <c r="S30">
        <v>1</v>
      </c>
      <c r="T30">
        <v>4</v>
      </c>
      <c r="U30">
        <v>0</v>
      </c>
      <c r="V30" t="s">
        <v>47</v>
      </c>
      <c r="W30">
        <v>0</v>
      </c>
      <c r="X30">
        <v>1</v>
      </c>
      <c r="Y30">
        <v>0</v>
      </c>
      <c r="Z30">
        <v>4.5714285714285703</v>
      </c>
      <c r="AA30">
        <v>8.2758620689655107</v>
      </c>
      <c r="AB30">
        <v>6</v>
      </c>
      <c r="AC30">
        <v>2.80217391304347</v>
      </c>
    </row>
    <row r="31" spans="1:29" x14ac:dyDescent="0.35">
      <c r="A31" t="s">
        <v>99</v>
      </c>
      <c r="B31" t="s">
        <v>43</v>
      </c>
      <c r="C31" s="1">
        <v>45674</v>
      </c>
      <c r="D31" t="s">
        <v>38</v>
      </c>
      <c r="E31" s="2">
        <v>0.6875</v>
      </c>
      <c r="F31" t="s">
        <v>100</v>
      </c>
      <c r="G31">
        <v>67</v>
      </c>
      <c r="H31">
        <v>61</v>
      </c>
      <c r="I31">
        <v>18.399999999999999</v>
      </c>
      <c r="J31">
        <v>32</v>
      </c>
      <c r="K31" t="s">
        <v>46</v>
      </c>
      <c r="L31">
        <v>0</v>
      </c>
      <c r="M31" t="s">
        <v>34</v>
      </c>
      <c r="N31">
        <v>18</v>
      </c>
      <c r="O31">
        <v>15</v>
      </c>
      <c r="P31">
        <v>9.6999999999999993</v>
      </c>
      <c r="Q31">
        <v>0</v>
      </c>
      <c r="R31">
        <v>16</v>
      </c>
      <c r="S31">
        <v>1</v>
      </c>
      <c r="T31">
        <v>4</v>
      </c>
      <c r="U31">
        <v>0</v>
      </c>
      <c r="V31" t="s">
        <v>35</v>
      </c>
      <c r="W31">
        <v>0</v>
      </c>
      <c r="X31">
        <v>0.83333333333333304</v>
      </c>
      <c r="Y31">
        <v>1</v>
      </c>
      <c r="Z31">
        <v>2.09375</v>
      </c>
      <c r="AA31">
        <v>3.6413043478260798</v>
      </c>
      <c r="AB31">
        <v>6</v>
      </c>
      <c r="AC31">
        <v>8.6013888888888896</v>
      </c>
    </row>
    <row r="32" spans="1:29" x14ac:dyDescent="0.35">
      <c r="A32" t="s">
        <v>101</v>
      </c>
      <c r="B32" t="s">
        <v>102</v>
      </c>
      <c r="C32" s="1">
        <v>45671</v>
      </c>
      <c r="D32" t="s">
        <v>44</v>
      </c>
      <c r="E32" s="2">
        <v>0.73958333333333337</v>
      </c>
      <c r="F32" t="s">
        <v>55</v>
      </c>
      <c r="G32">
        <v>54</v>
      </c>
      <c r="H32">
        <v>51</v>
      </c>
      <c r="I32">
        <v>7.3</v>
      </c>
      <c r="J32">
        <v>13</v>
      </c>
      <c r="K32" t="s">
        <v>66</v>
      </c>
      <c r="L32">
        <v>1</v>
      </c>
      <c r="M32" t="s">
        <v>34</v>
      </c>
      <c r="N32">
        <v>19</v>
      </c>
      <c r="O32">
        <v>19</v>
      </c>
      <c r="P32">
        <v>10.4</v>
      </c>
      <c r="Q32">
        <v>0</v>
      </c>
      <c r="R32">
        <v>17</v>
      </c>
      <c r="S32">
        <v>1</v>
      </c>
      <c r="T32">
        <v>1</v>
      </c>
      <c r="U32">
        <v>0</v>
      </c>
      <c r="V32" t="s">
        <v>41</v>
      </c>
      <c r="W32">
        <v>0</v>
      </c>
      <c r="X32">
        <v>1</v>
      </c>
      <c r="Y32">
        <v>1</v>
      </c>
      <c r="Z32">
        <v>4.1538461538461497</v>
      </c>
      <c r="AA32">
        <v>7.3972602739726003</v>
      </c>
      <c r="AB32">
        <v>3</v>
      </c>
      <c r="AC32">
        <v>4.0518518518518496</v>
      </c>
    </row>
    <row r="33" spans="1:29" x14ac:dyDescent="0.35">
      <c r="A33" t="s">
        <v>103</v>
      </c>
      <c r="B33" t="s">
        <v>43</v>
      </c>
      <c r="C33" s="1">
        <v>45709</v>
      </c>
      <c r="D33" t="s">
        <v>38</v>
      </c>
      <c r="E33" s="2">
        <v>0.38541666666666669</v>
      </c>
      <c r="F33" t="s">
        <v>104</v>
      </c>
      <c r="G33">
        <v>110</v>
      </c>
      <c r="H33">
        <v>106</v>
      </c>
      <c r="I33">
        <v>18.399999999999999</v>
      </c>
      <c r="J33">
        <v>32</v>
      </c>
      <c r="K33" t="s">
        <v>46</v>
      </c>
      <c r="L33">
        <v>0</v>
      </c>
      <c r="M33" t="s">
        <v>34</v>
      </c>
      <c r="N33">
        <v>37</v>
      </c>
      <c r="O33">
        <v>30</v>
      </c>
      <c r="P33">
        <v>11.2</v>
      </c>
      <c r="Q33">
        <v>0</v>
      </c>
      <c r="R33">
        <v>9</v>
      </c>
      <c r="S33">
        <v>2</v>
      </c>
      <c r="T33">
        <v>4</v>
      </c>
      <c r="U33">
        <v>0</v>
      </c>
      <c r="V33" t="s">
        <v>47</v>
      </c>
      <c r="W33">
        <v>0</v>
      </c>
      <c r="X33">
        <v>0.81081081081080997</v>
      </c>
      <c r="Y33">
        <v>1</v>
      </c>
      <c r="Z33">
        <v>3.4375</v>
      </c>
      <c r="AA33">
        <v>5.9782608695652097</v>
      </c>
      <c r="AB33">
        <v>4</v>
      </c>
      <c r="AC33">
        <v>8.6013888888888896</v>
      </c>
    </row>
    <row r="34" spans="1:29" x14ac:dyDescent="0.35">
      <c r="A34" t="s">
        <v>105</v>
      </c>
      <c r="B34" t="s">
        <v>106</v>
      </c>
      <c r="C34" s="1">
        <v>45678</v>
      </c>
      <c r="D34" t="s">
        <v>44</v>
      </c>
      <c r="E34" s="2">
        <v>0.66666666666666663</v>
      </c>
      <c r="F34" t="s">
        <v>107</v>
      </c>
      <c r="G34">
        <v>54</v>
      </c>
      <c r="H34">
        <v>48</v>
      </c>
      <c r="I34">
        <v>15</v>
      </c>
      <c r="J34">
        <v>28</v>
      </c>
      <c r="K34" t="s">
        <v>40</v>
      </c>
      <c r="L34">
        <v>0</v>
      </c>
      <c r="M34" t="s">
        <v>34</v>
      </c>
      <c r="N34">
        <v>27</v>
      </c>
      <c r="O34">
        <v>23</v>
      </c>
      <c r="P34">
        <v>6.2</v>
      </c>
      <c r="Q34">
        <v>0</v>
      </c>
      <c r="R34">
        <v>16</v>
      </c>
      <c r="S34">
        <v>1</v>
      </c>
      <c r="T34">
        <v>1</v>
      </c>
      <c r="U34">
        <v>0</v>
      </c>
      <c r="V34" t="s">
        <v>35</v>
      </c>
      <c r="W34">
        <v>0</v>
      </c>
      <c r="X34">
        <v>0.85185185185185097</v>
      </c>
      <c r="Y34">
        <v>1</v>
      </c>
      <c r="Z34">
        <v>1.9285714285714199</v>
      </c>
      <c r="AA34">
        <v>3.6</v>
      </c>
      <c r="AB34">
        <v>6</v>
      </c>
      <c r="AC34">
        <v>9.4749999999999996</v>
      </c>
    </row>
    <row r="35" spans="1:29" x14ac:dyDescent="0.35">
      <c r="A35" t="s">
        <v>108</v>
      </c>
      <c r="B35" t="s">
        <v>43</v>
      </c>
      <c r="C35" s="1">
        <v>45694</v>
      </c>
      <c r="D35" t="s">
        <v>54</v>
      </c>
      <c r="E35" s="2">
        <v>0.34375</v>
      </c>
      <c r="F35" t="s">
        <v>39</v>
      </c>
      <c r="G35">
        <v>120</v>
      </c>
      <c r="H35">
        <v>111</v>
      </c>
      <c r="I35">
        <v>18.399999999999999</v>
      </c>
      <c r="J35">
        <v>32</v>
      </c>
      <c r="K35" t="s">
        <v>46</v>
      </c>
      <c r="L35">
        <v>0</v>
      </c>
      <c r="M35" t="s">
        <v>34</v>
      </c>
      <c r="N35">
        <v>23</v>
      </c>
      <c r="O35">
        <v>21</v>
      </c>
      <c r="P35">
        <v>9.1999999999999993</v>
      </c>
      <c r="Q35">
        <v>0</v>
      </c>
      <c r="R35">
        <v>8</v>
      </c>
      <c r="S35">
        <v>2</v>
      </c>
      <c r="T35">
        <v>3</v>
      </c>
      <c r="U35">
        <v>0</v>
      </c>
      <c r="V35" t="s">
        <v>47</v>
      </c>
      <c r="W35">
        <v>0</v>
      </c>
      <c r="X35">
        <v>0.91304347826086896</v>
      </c>
      <c r="Y35">
        <v>1</v>
      </c>
      <c r="Z35">
        <v>3.75</v>
      </c>
      <c r="AA35">
        <v>6.5217391304347796</v>
      </c>
      <c r="AB35">
        <v>9</v>
      </c>
      <c r="AC35">
        <v>8.6013888888888896</v>
      </c>
    </row>
    <row r="36" spans="1:29" x14ac:dyDescent="0.35">
      <c r="A36" t="s">
        <v>109</v>
      </c>
      <c r="B36" t="s">
        <v>60</v>
      </c>
      <c r="C36" s="1">
        <v>45677</v>
      </c>
      <c r="D36" t="s">
        <v>87</v>
      </c>
      <c r="E36" s="2">
        <v>0.35416666666666669</v>
      </c>
      <c r="F36" t="s">
        <v>110</v>
      </c>
      <c r="G36">
        <v>89</v>
      </c>
      <c r="H36">
        <v>84</v>
      </c>
      <c r="I36">
        <v>12.5</v>
      </c>
      <c r="J36">
        <v>22</v>
      </c>
      <c r="K36" t="s">
        <v>51</v>
      </c>
      <c r="L36">
        <v>0</v>
      </c>
      <c r="M36" t="s">
        <v>34</v>
      </c>
      <c r="N36">
        <v>35</v>
      </c>
      <c r="O36">
        <v>33</v>
      </c>
      <c r="P36">
        <v>2.1</v>
      </c>
      <c r="Q36">
        <v>0</v>
      </c>
      <c r="R36">
        <v>8</v>
      </c>
      <c r="S36">
        <v>1</v>
      </c>
      <c r="T36">
        <v>0</v>
      </c>
      <c r="U36">
        <v>0</v>
      </c>
      <c r="V36" t="s">
        <v>47</v>
      </c>
      <c r="W36">
        <v>0</v>
      </c>
      <c r="X36">
        <v>0.94285714285714195</v>
      </c>
      <c r="Y36">
        <v>0</v>
      </c>
      <c r="Z36">
        <v>4.0454545454545396</v>
      </c>
      <c r="AA36">
        <v>7.12</v>
      </c>
      <c r="AB36">
        <v>5</v>
      </c>
      <c r="AC36">
        <v>3.4760869565217298</v>
      </c>
    </row>
    <row r="37" spans="1:29" x14ac:dyDescent="0.35">
      <c r="A37" t="s">
        <v>111</v>
      </c>
      <c r="B37" t="s">
        <v>60</v>
      </c>
      <c r="C37" s="1">
        <v>45671</v>
      </c>
      <c r="D37" t="s">
        <v>44</v>
      </c>
      <c r="E37" s="2">
        <v>0.28125</v>
      </c>
      <c r="F37" t="s">
        <v>39</v>
      </c>
      <c r="G37">
        <v>39</v>
      </c>
      <c r="H37">
        <v>37</v>
      </c>
      <c r="I37">
        <v>12.5</v>
      </c>
      <c r="J37">
        <v>22</v>
      </c>
      <c r="K37" t="s">
        <v>51</v>
      </c>
      <c r="L37">
        <v>1</v>
      </c>
      <c r="M37" t="s">
        <v>34</v>
      </c>
      <c r="N37">
        <v>20</v>
      </c>
      <c r="O37">
        <v>19</v>
      </c>
      <c r="P37">
        <v>2</v>
      </c>
      <c r="Q37">
        <v>0</v>
      </c>
      <c r="R37">
        <v>6</v>
      </c>
      <c r="S37">
        <v>1</v>
      </c>
      <c r="T37">
        <v>1</v>
      </c>
      <c r="U37">
        <v>0</v>
      </c>
      <c r="V37" t="s">
        <v>35</v>
      </c>
      <c r="W37">
        <v>0</v>
      </c>
      <c r="X37">
        <v>0.95</v>
      </c>
      <c r="Y37">
        <v>0</v>
      </c>
      <c r="Z37">
        <v>1.77272727272727</v>
      </c>
      <c r="AA37">
        <v>3.12</v>
      </c>
      <c r="AB37">
        <v>2</v>
      </c>
      <c r="AC37">
        <v>3.4760869565217298</v>
      </c>
    </row>
    <row r="38" spans="1:29" x14ac:dyDescent="0.35">
      <c r="A38" t="s">
        <v>112</v>
      </c>
      <c r="B38" t="s">
        <v>43</v>
      </c>
      <c r="C38" s="1">
        <v>45698</v>
      </c>
      <c r="D38" t="s">
        <v>87</v>
      </c>
      <c r="E38" s="2">
        <v>0.38541666666666669</v>
      </c>
      <c r="F38" t="s">
        <v>55</v>
      </c>
      <c r="G38">
        <v>111</v>
      </c>
      <c r="H38">
        <v>95</v>
      </c>
      <c r="I38">
        <v>18.399999999999999</v>
      </c>
      <c r="J38">
        <v>32</v>
      </c>
      <c r="K38" t="s">
        <v>46</v>
      </c>
      <c r="L38">
        <v>0</v>
      </c>
      <c r="M38" t="s">
        <v>34</v>
      </c>
      <c r="N38">
        <v>30</v>
      </c>
      <c r="O38">
        <v>28</v>
      </c>
      <c r="P38">
        <v>5</v>
      </c>
      <c r="Q38">
        <v>0</v>
      </c>
      <c r="R38">
        <v>9</v>
      </c>
      <c r="S38">
        <v>2</v>
      </c>
      <c r="T38">
        <v>0</v>
      </c>
      <c r="U38">
        <v>0</v>
      </c>
      <c r="V38" t="s">
        <v>47</v>
      </c>
      <c r="W38">
        <v>0</v>
      </c>
      <c r="X38">
        <v>0.93333333333333302</v>
      </c>
      <c r="Y38">
        <v>0</v>
      </c>
      <c r="Z38">
        <v>3.46875</v>
      </c>
      <c r="AA38">
        <v>6.0326086956521703</v>
      </c>
      <c r="AB38">
        <v>16</v>
      </c>
      <c r="AC38">
        <v>8.6013888888888896</v>
      </c>
    </row>
    <row r="39" spans="1:29" x14ac:dyDescent="0.35">
      <c r="A39" t="s">
        <v>113</v>
      </c>
      <c r="B39" t="s">
        <v>60</v>
      </c>
      <c r="C39" s="1">
        <v>45716</v>
      </c>
      <c r="D39" t="s">
        <v>38</v>
      </c>
      <c r="E39" s="2">
        <v>0.5625</v>
      </c>
      <c r="F39" t="s">
        <v>39</v>
      </c>
      <c r="G39">
        <v>43</v>
      </c>
      <c r="H39">
        <v>41</v>
      </c>
      <c r="I39">
        <v>12.5</v>
      </c>
      <c r="J39">
        <v>22</v>
      </c>
      <c r="K39" t="s">
        <v>51</v>
      </c>
      <c r="L39">
        <v>0</v>
      </c>
      <c r="M39" t="s">
        <v>34</v>
      </c>
      <c r="N39">
        <v>38</v>
      </c>
      <c r="O39">
        <v>36</v>
      </c>
      <c r="P39">
        <v>0.6</v>
      </c>
      <c r="Q39">
        <v>0</v>
      </c>
      <c r="R39">
        <v>13</v>
      </c>
      <c r="S39">
        <v>2</v>
      </c>
      <c r="T39">
        <v>4</v>
      </c>
      <c r="U39">
        <v>0</v>
      </c>
      <c r="V39" t="s">
        <v>35</v>
      </c>
      <c r="W39">
        <v>0</v>
      </c>
      <c r="X39">
        <v>0.94736842105263097</v>
      </c>
      <c r="Y39">
        <v>0</v>
      </c>
      <c r="Z39">
        <v>1.9545454545454499</v>
      </c>
      <c r="AA39">
        <v>3.44</v>
      </c>
      <c r="AB39">
        <v>2</v>
      </c>
      <c r="AC39">
        <v>3.4760869565217298</v>
      </c>
    </row>
    <row r="40" spans="1:29" x14ac:dyDescent="0.35">
      <c r="A40" t="s">
        <v>114</v>
      </c>
      <c r="B40" t="s">
        <v>106</v>
      </c>
      <c r="C40" s="1">
        <v>45659</v>
      </c>
      <c r="D40" t="s">
        <v>54</v>
      </c>
      <c r="E40" s="2">
        <v>0.32291666666666669</v>
      </c>
      <c r="F40" t="s">
        <v>45</v>
      </c>
      <c r="G40">
        <v>102</v>
      </c>
      <c r="H40">
        <v>94</v>
      </c>
      <c r="I40">
        <v>15</v>
      </c>
      <c r="J40">
        <v>28</v>
      </c>
      <c r="K40" t="s">
        <v>40</v>
      </c>
      <c r="L40">
        <v>0</v>
      </c>
      <c r="M40" t="s">
        <v>34</v>
      </c>
      <c r="N40">
        <v>21</v>
      </c>
      <c r="O40">
        <v>18</v>
      </c>
      <c r="P40">
        <v>7.9</v>
      </c>
      <c r="Q40">
        <v>0</v>
      </c>
      <c r="R40">
        <v>7</v>
      </c>
      <c r="S40">
        <v>1</v>
      </c>
      <c r="T40">
        <v>3</v>
      </c>
      <c r="U40">
        <v>0</v>
      </c>
      <c r="V40" t="s">
        <v>47</v>
      </c>
      <c r="W40">
        <v>0</v>
      </c>
      <c r="X40">
        <v>0.85714285714285698</v>
      </c>
      <c r="Y40">
        <v>1</v>
      </c>
      <c r="Z40">
        <v>3.6428571428571401</v>
      </c>
      <c r="AA40">
        <v>6.8</v>
      </c>
      <c r="AB40">
        <v>8</v>
      </c>
      <c r="AC40">
        <v>9.4749999999999996</v>
      </c>
    </row>
    <row r="41" spans="1:29" x14ac:dyDescent="0.35">
      <c r="A41" t="s">
        <v>115</v>
      </c>
      <c r="B41" t="s">
        <v>60</v>
      </c>
      <c r="C41" s="1">
        <v>45670</v>
      </c>
      <c r="D41" t="s">
        <v>87</v>
      </c>
      <c r="E41" s="2">
        <v>0.59375</v>
      </c>
      <c r="F41" t="s">
        <v>45</v>
      </c>
      <c r="G41">
        <v>44</v>
      </c>
      <c r="H41">
        <v>44</v>
      </c>
      <c r="I41">
        <v>12.5</v>
      </c>
      <c r="J41">
        <v>22</v>
      </c>
      <c r="K41" t="s">
        <v>51</v>
      </c>
      <c r="L41">
        <v>0</v>
      </c>
      <c r="M41" t="s">
        <v>34</v>
      </c>
      <c r="N41">
        <v>36</v>
      </c>
      <c r="O41">
        <v>34</v>
      </c>
      <c r="P41">
        <v>1.2</v>
      </c>
      <c r="Q41">
        <v>0</v>
      </c>
      <c r="R41">
        <v>14</v>
      </c>
      <c r="S41">
        <v>1</v>
      </c>
      <c r="T41">
        <v>0</v>
      </c>
      <c r="U41">
        <v>0</v>
      </c>
      <c r="V41" t="s">
        <v>35</v>
      </c>
      <c r="W41">
        <v>0</v>
      </c>
      <c r="X41">
        <v>0.94444444444444398</v>
      </c>
      <c r="Y41">
        <v>0</v>
      </c>
      <c r="Z41">
        <v>2</v>
      </c>
      <c r="AA41">
        <v>3.52</v>
      </c>
      <c r="AB41">
        <v>0</v>
      </c>
      <c r="AC41">
        <v>3.4760869565217298</v>
      </c>
    </row>
    <row r="42" spans="1:29" x14ac:dyDescent="0.35">
      <c r="A42" t="s">
        <v>116</v>
      </c>
      <c r="B42" t="s">
        <v>30</v>
      </c>
      <c r="C42" s="1">
        <v>45702</v>
      </c>
      <c r="D42" t="s">
        <v>38</v>
      </c>
      <c r="E42" s="2">
        <v>0.66666666666666663</v>
      </c>
      <c r="F42" t="s">
        <v>89</v>
      </c>
      <c r="G42">
        <v>43</v>
      </c>
      <c r="H42">
        <v>39</v>
      </c>
      <c r="I42">
        <v>10.1</v>
      </c>
      <c r="J42">
        <v>19</v>
      </c>
      <c r="K42" t="s">
        <v>33</v>
      </c>
      <c r="L42">
        <v>0</v>
      </c>
      <c r="M42" t="s">
        <v>34</v>
      </c>
      <c r="N42">
        <v>29</v>
      </c>
      <c r="O42">
        <v>29</v>
      </c>
      <c r="P42">
        <v>3.3</v>
      </c>
      <c r="Q42">
        <v>1</v>
      </c>
      <c r="R42">
        <v>16</v>
      </c>
      <c r="S42">
        <v>2</v>
      </c>
      <c r="T42">
        <v>4</v>
      </c>
      <c r="U42">
        <v>0</v>
      </c>
      <c r="V42" t="s">
        <v>35</v>
      </c>
      <c r="W42">
        <v>0</v>
      </c>
      <c r="X42">
        <v>1</v>
      </c>
      <c r="Y42">
        <v>0</v>
      </c>
      <c r="Z42">
        <v>2.2631578947368398</v>
      </c>
      <c r="AA42">
        <v>4.2574257425742497</v>
      </c>
      <c r="AB42">
        <v>4</v>
      </c>
      <c r="AC42">
        <v>3.6613636363636299</v>
      </c>
    </row>
    <row r="43" spans="1:29" x14ac:dyDescent="0.35">
      <c r="A43" t="s">
        <v>117</v>
      </c>
      <c r="B43" t="s">
        <v>43</v>
      </c>
      <c r="C43" s="1">
        <v>45667</v>
      </c>
      <c r="D43" t="s">
        <v>38</v>
      </c>
      <c r="E43" s="2">
        <v>0.46875</v>
      </c>
      <c r="F43" t="s">
        <v>39</v>
      </c>
      <c r="G43">
        <v>54</v>
      </c>
      <c r="H43">
        <v>47</v>
      </c>
      <c r="I43">
        <v>18.399999999999999</v>
      </c>
      <c r="J43">
        <v>32</v>
      </c>
      <c r="K43" t="s">
        <v>46</v>
      </c>
      <c r="L43">
        <v>0</v>
      </c>
      <c r="M43" t="s">
        <v>34</v>
      </c>
      <c r="N43">
        <v>28</v>
      </c>
      <c r="O43">
        <v>23</v>
      </c>
      <c r="P43">
        <v>8.8000000000000007</v>
      </c>
      <c r="Q43">
        <v>1</v>
      </c>
      <c r="R43">
        <v>11</v>
      </c>
      <c r="S43">
        <v>1</v>
      </c>
      <c r="T43">
        <v>4</v>
      </c>
      <c r="U43">
        <v>0</v>
      </c>
      <c r="V43" t="s">
        <v>35</v>
      </c>
      <c r="W43">
        <v>0</v>
      </c>
      <c r="X43">
        <v>0.82142857142857095</v>
      </c>
      <c r="Y43">
        <v>1</v>
      </c>
      <c r="Z43">
        <v>1.6875</v>
      </c>
      <c r="AA43">
        <v>2.9347826086956501</v>
      </c>
      <c r="AB43">
        <v>7</v>
      </c>
      <c r="AC43">
        <v>8.6013888888888896</v>
      </c>
    </row>
    <row r="44" spans="1:29" x14ac:dyDescent="0.35">
      <c r="A44" t="s">
        <v>118</v>
      </c>
      <c r="B44" t="s">
        <v>43</v>
      </c>
      <c r="C44" s="1">
        <v>45715</v>
      </c>
      <c r="D44" t="s">
        <v>54</v>
      </c>
      <c r="E44" s="2">
        <v>0.44791666666666669</v>
      </c>
      <c r="F44" t="s">
        <v>119</v>
      </c>
      <c r="G44">
        <v>62</v>
      </c>
      <c r="H44">
        <v>60</v>
      </c>
      <c r="I44">
        <v>18.399999999999999</v>
      </c>
      <c r="J44">
        <v>32</v>
      </c>
      <c r="K44" t="s">
        <v>46</v>
      </c>
      <c r="L44">
        <v>0</v>
      </c>
      <c r="M44" t="s">
        <v>34</v>
      </c>
      <c r="N44">
        <v>33</v>
      </c>
      <c r="O44">
        <v>30</v>
      </c>
      <c r="P44">
        <v>4.9000000000000004</v>
      </c>
      <c r="Q44">
        <v>0</v>
      </c>
      <c r="R44">
        <v>10</v>
      </c>
      <c r="S44">
        <v>2</v>
      </c>
      <c r="T44">
        <v>3</v>
      </c>
      <c r="U44">
        <v>0</v>
      </c>
      <c r="V44" t="s">
        <v>35</v>
      </c>
      <c r="W44">
        <v>0</v>
      </c>
      <c r="X44">
        <v>0.90909090909090895</v>
      </c>
      <c r="Y44">
        <v>0</v>
      </c>
      <c r="Z44">
        <v>1.9375</v>
      </c>
      <c r="AA44">
        <v>3.3695652173913002</v>
      </c>
      <c r="AB44">
        <v>2</v>
      </c>
      <c r="AC44">
        <v>8.6013888888888896</v>
      </c>
    </row>
    <row r="45" spans="1:29" x14ac:dyDescent="0.35">
      <c r="A45" t="s">
        <v>120</v>
      </c>
      <c r="B45" t="s">
        <v>60</v>
      </c>
      <c r="C45" s="1">
        <v>45668</v>
      </c>
      <c r="D45" t="s">
        <v>50</v>
      </c>
      <c r="E45" s="2">
        <v>0.54166666666666663</v>
      </c>
      <c r="F45" t="s">
        <v>32</v>
      </c>
      <c r="G45">
        <v>32</v>
      </c>
      <c r="H45">
        <v>32</v>
      </c>
      <c r="I45">
        <v>12.5</v>
      </c>
      <c r="J45">
        <v>22</v>
      </c>
      <c r="K45" t="s">
        <v>51</v>
      </c>
      <c r="L45">
        <v>0</v>
      </c>
      <c r="M45" t="s">
        <v>52</v>
      </c>
      <c r="N45">
        <v>39</v>
      </c>
      <c r="O45">
        <v>37</v>
      </c>
      <c r="P45">
        <v>1.4</v>
      </c>
      <c r="Q45">
        <v>0</v>
      </c>
      <c r="R45">
        <v>13</v>
      </c>
      <c r="S45">
        <v>1</v>
      </c>
      <c r="T45">
        <v>5</v>
      </c>
      <c r="U45">
        <v>1</v>
      </c>
      <c r="V45" t="s">
        <v>35</v>
      </c>
      <c r="W45">
        <v>1</v>
      </c>
      <c r="X45">
        <v>0.94871794871794801</v>
      </c>
      <c r="Y45">
        <v>0</v>
      </c>
      <c r="Z45">
        <v>1.4545454545454499</v>
      </c>
      <c r="AA45">
        <v>2.56</v>
      </c>
      <c r="AB45">
        <v>0</v>
      </c>
      <c r="AC45">
        <v>3.4760869565217298</v>
      </c>
    </row>
    <row r="46" spans="1:29" x14ac:dyDescent="0.35">
      <c r="A46" t="s">
        <v>121</v>
      </c>
      <c r="B46" t="s">
        <v>60</v>
      </c>
      <c r="C46" s="1">
        <v>45686</v>
      </c>
      <c r="D46" t="s">
        <v>78</v>
      </c>
      <c r="E46" s="2">
        <v>0.63541666666666663</v>
      </c>
      <c r="F46" t="s">
        <v>39</v>
      </c>
      <c r="G46">
        <v>49</v>
      </c>
      <c r="H46">
        <v>42</v>
      </c>
      <c r="I46">
        <v>12.5</v>
      </c>
      <c r="J46">
        <v>22</v>
      </c>
      <c r="K46" t="s">
        <v>51</v>
      </c>
      <c r="L46">
        <v>0</v>
      </c>
      <c r="M46" t="s">
        <v>34</v>
      </c>
      <c r="N46">
        <v>33</v>
      </c>
      <c r="O46">
        <v>31</v>
      </c>
      <c r="P46">
        <v>2.7</v>
      </c>
      <c r="Q46">
        <v>0</v>
      </c>
      <c r="R46">
        <v>15</v>
      </c>
      <c r="S46">
        <v>1</v>
      </c>
      <c r="T46">
        <v>2</v>
      </c>
      <c r="U46">
        <v>0</v>
      </c>
      <c r="V46" t="s">
        <v>35</v>
      </c>
      <c r="W46">
        <v>0</v>
      </c>
      <c r="X46">
        <v>0.939393939393939</v>
      </c>
      <c r="Y46">
        <v>0</v>
      </c>
      <c r="Z46">
        <v>2.22727272727272</v>
      </c>
      <c r="AA46">
        <v>3.92</v>
      </c>
      <c r="AB46">
        <v>7</v>
      </c>
      <c r="AC46">
        <v>3.4760869565217298</v>
      </c>
    </row>
    <row r="47" spans="1:29" x14ac:dyDescent="0.35">
      <c r="A47" t="s">
        <v>122</v>
      </c>
      <c r="B47" t="s">
        <v>102</v>
      </c>
      <c r="C47" s="1">
        <v>45706</v>
      </c>
      <c r="D47" t="s">
        <v>44</v>
      </c>
      <c r="E47" s="2">
        <v>0.86458333333333337</v>
      </c>
      <c r="F47" t="s">
        <v>100</v>
      </c>
      <c r="G47">
        <v>28</v>
      </c>
      <c r="H47">
        <v>26</v>
      </c>
      <c r="I47">
        <v>7.3</v>
      </c>
      <c r="J47">
        <v>13</v>
      </c>
      <c r="K47" t="s">
        <v>66</v>
      </c>
      <c r="L47">
        <v>0</v>
      </c>
      <c r="M47" t="s">
        <v>34</v>
      </c>
      <c r="N47">
        <v>27</v>
      </c>
      <c r="O47">
        <v>26</v>
      </c>
      <c r="P47">
        <v>1</v>
      </c>
      <c r="Q47">
        <v>0</v>
      </c>
      <c r="R47">
        <v>20</v>
      </c>
      <c r="S47">
        <v>2</v>
      </c>
      <c r="T47">
        <v>1</v>
      </c>
      <c r="U47">
        <v>0</v>
      </c>
      <c r="V47" t="s">
        <v>35</v>
      </c>
      <c r="W47">
        <v>0</v>
      </c>
      <c r="X47">
        <v>0.96296296296296202</v>
      </c>
      <c r="Y47">
        <v>0</v>
      </c>
      <c r="Z47">
        <v>2.1538461538461502</v>
      </c>
      <c r="AA47">
        <v>3.8356164383561602</v>
      </c>
      <c r="AB47">
        <v>2</v>
      </c>
      <c r="AC47">
        <v>4.0518518518518496</v>
      </c>
    </row>
    <row r="48" spans="1:29" x14ac:dyDescent="0.35">
      <c r="A48" t="s">
        <v>123</v>
      </c>
      <c r="B48" t="s">
        <v>30</v>
      </c>
      <c r="C48" s="1">
        <v>45679</v>
      </c>
      <c r="D48" t="s">
        <v>78</v>
      </c>
      <c r="E48" s="2">
        <v>0.3125</v>
      </c>
      <c r="F48" t="s">
        <v>61</v>
      </c>
      <c r="G48">
        <v>59</v>
      </c>
      <c r="H48">
        <v>55</v>
      </c>
      <c r="I48">
        <v>10.1</v>
      </c>
      <c r="J48">
        <v>19</v>
      </c>
      <c r="K48" t="s">
        <v>33</v>
      </c>
      <c r="L48">
        <v>0</v>
      </c>
      <c r="M48" t="s">
        <v>34</v>
      </c>
      <c r="N48">
        <v>24</v>
      </c>
      <c r="O48">
        <v>24</v>
      </c>
      <c r="P48">
        <v>1.6</v>
      </c>
      <c r="Q48">
        <v>0</v>
      </c>
      <c r="R48">
        <v>7</v>
      </c>
      <c r="S48">
        <v>1</v>
      </c>
      <c r="T48">
        <v>2</v>
      </c>
      <c r="U48">
        <v>0</v>
      </c>
      <c r="V48" t="s">
        <v>47</v>
      </c>
      <c r="W48">
        <v>0</v>
      </c>
      <c r="X48">
        <v>1</v>
      </c>
      <c r="Y48">
        <v>0</v>
      </c>
      <c r="Z48">
        <v>3.1052631578947301</v>
      </c>
      <c r="AA48">
        <v>5.8415841584158397</v>
      </c>
      <c r="AB48">
        <v>4</v>
      </c>
      <c r="AC48">
        <v>3.6613636363636299</v>
      </c>
    </row>
    <row r="49" spans="1:29" x14ac:dyDescent="0.35">
      <c r="A49" t="s">
        <v>124</v>
      </c>
      <c r="B49" t="s">
        <v>30</v>
      </c>
      <c r="C49" s="1">
        <v>45667</v>
      </c>
      <c r="D49" t="s">
        <v>38</v>
      </c>
      <c r="E49" s="2">
        <v>0.5</v>
      </c>
      <c r="F49" t="s">
        <v>125</v>
      </c>
      <c r="G49">
        <v>63</v>
      </c>
      <c r="H49">
        <v>55</v>
      </c>
      <c r="I49">
        <v>10.1</v>
      </c>
      <c r="J49">
        <v>19</v>
      </c>
      <c r="K49" t="s">
        <v>33</v>
      </c>
      <c r="L49">
        <v>0</v>
      </c>
      <c r="M49" t="s">
        <v>34</v>
      </c>
      <c r="N49">
        <v>39</v>
      </c>
      <c r="O49">
        <v>37</v>
      </c>
      <c r="P49">
        <v>5.2</v>
      </c>
      <c r="Q49">
        <v>0</v>
      </c>
      <c r="R49">
        <v>12</v>
      </c>
      <c r="S49">
        <v>1</v>
      </c>
      <c r="T49">
        <v>4</v>
      </c>
      <c r="U49">
        <v>0</v>
      </c>
      <c r="V49" t="s">
        <v>35</v>
      </c>
      <c r="W49">
        <v>0</v>
      </c>
      <c r="X49">
        <v>0.94871794871794801</v>
      </c>
      <c r="Y49">
        <v>1</v>
      </c>
      <c r="Z49">
        <v>3.3157894736842102</v>
      </c>
      <c r="AA49">
        <v>6.2376237623762298</v>
      </c>
      <c r="AB49">
        <v>8</v>
      </c>
      <c r="AC49">
        <v>3.6613636363636299</v>
      </c>
    </row>
    <row r="50" spans="1:29" x14ac:dyDescent="0.35">
      <c r="A50" t="s">
        <v>126</v>
      </c>
      <c r="B50" t="s">
        <v>49</v>
      </c>
      <c r="C50" s="1">
        <v>45679</v>
      </c>
      <c r="D50" t="s">
        <v>78</v>
      </c>
      <c r="E50" s="2">
        <v>0.42708333333333331</v>
      </c>
      <c r="F50" t="s">
        <v>58</v>
      </c>
      <c r="G50">
        <v>28</v>
      </c>
      <c r="H50">
        <v>28</v>
      </c>
      <c r="I50">
        <v>8.1999999999999993</v>
      </c>
      <c r="J50">
        <v>15</v>
      </c>
      <c r="K50" t="s">
        <v>51</v>
      </c>
      <c r="L50">
        <v>0</v>
      </c>
      <c r="M50" t="s">
        <v>34</v>
      </c>
      <c r="N50">
        <v>37</v>
      </c>
      <c r="O50">
        <v>37</v>
      </c>
      <c r="P50">
        <v>4.8</v>
      </c>
      <c r="Q50">
        <v>0</v>
      </c>
      <c r="R50">
        <v>10</v>
      </c>
      <c r="S50">
        <v>1</v>
      </c>
      <c r="T50">
        <v>2</v>
      </c>
      <c r="U50">
        <v>0</v>
      </c>
      <c r="V50" t="s">
        <v>35</v>
      </c>
      <c r="W50">
        <v>0</v>
      </c>
      <c r="X50">
        <v>1</v>
      </c>
      <c r="Y50">
        <v>0</v>
      </c>
      <c r="Z50">
        <v>1.86666666666666</v>
      </c>
      <c r="AA50">
        <v>3.4146341463414598</v>
      </c>
      <c r="AB50">
        <v>0</v>
      </c>
      <c r="AC50">
        <v>3.6937500000000001</v>
      </c>
    </row>
    <row r="51" spans="1:29" x14ac:dyDescent="0.35">
      <c r="A51" t="s">
        <v>127</v>
      </c>
      <c r="B51" t="s">
        <v>72</v>
      </c>
      <c r="C51" s="1">
        <v>45671</v>
      </c>
      <c r="D51" t="s">
        <v>44</v>
      </c>
      <c r="E51" s="2">
        <v>0.90625</v>
      </c>
      <c r="F51" t="s">
        <v>68</v>
      </c>
      <c r="G51">
        <v>34</v>
      </c>
      <c r="H51">
        <v>30</v>
      </c>
      <c r="I51">
        <v>11.6</v>
      </c>
      <c r="J51">
        <v>21</v>
      </c>
      <c r="K51" t="s">
        <v>33</v>
      </c>
      <c r="L51">
        <v>1</v>
      </c>
      <c r="M51" t="s">
        <v>34</v>
      </c>
      <c r="N51">
        <v>23</v>
      </c>
      <c r="O51">
        <v>22</v>
      </c>
      <c r="P51">
        <v>0.8</v>
      </c>
      <c r="Q51">
        <v>0</v>
      </c>
      <c r="R51">
        <v>21</v>
      </c>
      <c r="S51">
        <v>1</v>
      </c>
      <c r="T51">
        <v>1</v>
      </c>
      <c r="U51">
        <v>0</v>
      </c>
      <c r="V51" t="s">
        <v>35</v>
      </c>
      <c r="W51">
        <v>0</v>
      </c>
      <c r="X51">
        <v>0.95652173913043403</v>
      </c>
      <c r="Y51">
        <v>0</v>
      </c>
      <c r="Z51">
        <v>1.61904761904761</v>
      </c>
      <c r="AA51">
        <v>2.9310344827586201</v>
      </c>
      <c r="AB51">
        <v>4</v>
      </c>
      <c r="AC51">
        <v>2.80217391304347</v>
      </c>
    </row>
    <row r="52" spans="1:29" x14ac:dyDescent="0.35">
      <c r="A52" t="s">
        <v>128</v>
      </c>
      <c r="B52" t="s">
        <v>60</v>
      </c>
      <c r="C52" s="1">
        <v>45689</v>
      </c>
      <c r="D52" t="s">
        <v>50</v>
      </c>
      <c r="E52" s="2">
        <v>0.34375</v>
      </c>
      <c r="F52" t="s">
        <v>39</v>
      </c>
      <c r="G52">
        <v>57</v>
      </c>
      <c r="H52">
        <v>52</v>
      </c>
      <c r="I52">
        <v>12.5</v>
      </c>
      <c r="J52">
        <v>22</v>
      </c>
      <c r="K52" t="s">
        <v>51</v>
      </c>
      <c r="L52">
        <v>0</v>
      </c>
      <c r="M52" t="s">
        <v>34</v>
      </c>
      <c r="N52">
        <v>32</v>
      </c>
      <c r="O52">
        <v>30</v>
      </c>
      <c r="P52">
        <v>2.2999999999999998</v>
      </c>
      <c r="Q52">
        <v>0</v>
      </c>
      <c r="R52">
        <v>8</v>
      </c>
      <c r="S52">
        <v>2</v>
      </c>
      <c r="T52">
        <v>5</v>
      </c>
      <c r="U52">
        <v>1</v>
      </c>
      <c r="V52" t="s">
        <v>47</v>
      </c>
      <c r="W52">
        <v>0</v>
      </c>
      <c r="X52">
        <v>0.9375</v>
      </c>
      <c r="Y52">
        <v>0</v>
      </c>
      <c r="Z52">
        <v>2.5909090909090899</v>
      </c>
      <c r="AA52">
        <v>4.5599999999999996</v>
      </c>
      <c r="AB52">
        <v>5</v>
      </c>
      <c r="AC52">
        <v>3.4760869565217298</v>
      </c>
    </row>
    <row r="53" spans="1:29" x14ac:dyDescent="0.35">
      <c r="A53" t="s">
        <v>129</v>
      </c>
      <c r="B53" t="s">
        <v>106</v>
      </c>
      <c r="C53" s="1">
        <v>45679</v>
      </c>
      <c r="D53" t="s">
        <v>78</v>
      </c>
      <c r="E53" s="2">
        <v>0.61458333333333337</v>
      </c>
      <c r="F53" t="s">
        <v>73</v>
      </c>
      <c r="G53">
        <v>42</v>
      </c>
      <c r="H53">
        <v>37</v>
      </c>
      <c r="I53">
        <v>15</v>
      </c>
      <c r="J53">
        <v>28</v>
      </c>
      <c r="K53" t="s">
        <v>40</v>
      </c>
      <c r="L53">
        <v>0</v>
      </c>
      <c r="M53" t="s">
        <v>34</v>
      </c>
      <c r="N53">
        <v>33</v>
      </c>
      <c r="O53">
        <v>27</v>
      </c>
      <c r="P53">
        <v>4.2</v>
      </c>
      <c r="Q53">
        <v>0</v>
      </c>
      <c r="R53">
        <v>14</v>
      </c>
      <c r="S53">
        <v>1</v>
      </c>
      <c r="T53">
        <v>2</v>
      </c>
      <c r="U53">
        <v>0</v>
      </c>
      <c r="V53" t="s">
        <v>35</v>
      </c>
      <c r="W53">
        <v>0</v>
      </c>
      <c r="X53">
        <v>0.81818181818181801</v>
      </c>
      <c r="Y53">
        <v>0</v>
      </c>
      <c r="Z53">
        <v>1.5</v>
      </c>
      <c r="AA53">
        <v>2.8</v>
      </c>
      <c r="AB53">
        <v>5</v>
      </c>
      <c r="AC53">
        <v>9.4749999999999996</v>
      </c>
    </row>
    <row r="54" spans="1:29" x14ac:dyDescent="0.35">
      <c r="A54" t="s">
        <v>130</v>
      </c>
      <c r="B54" t="s">
        <v>72</v>
      </c>
      <c r="C54" s="1">
        <v>45668</v>
      </c>
      <c r="D54" t="s">
        <v>50</v>
      </c>
      <c r="E54" s="2">
        <v>0.51041666666666663</v>
      </c>
      <c r="F54" t="s">
        <v>39</v>
      </c>
      <c r="G54">
        <v>52</v>
      </c>
      <c r="H54">
        <v>46</v>
      </c>
      <c r="I54">
        <v>11.6</v>
      </c>
      <c r="J54">
        <v>21</v>
      </c>
      <c r="K54" t="s">
        <v>33</v>
      </c>
      <c r="L54">
        <v>0</v>
      </c>
      <c r="M54" t="s">
        <v>52</v>
      </c>
      <c r="N54">
        <v>23</v>
      </c>
      <c r="O54">
        <v>22</v>
      </c>
      <c r="P54">
        <v>1.4</v>
      </c>
      <c r="Q54">
        <v>0</v>
      </c>
      <c r="R54">
        <v>12</v>
      </c>
      <c r="S54">
        <v>1</v>
      </c>
      <c r="T54">
        <v>5</v>
      </c>
      <c r="U54">
        <v>1</v>
      </c>
      <c r="V54" t="s">
        <v>35</v>
      </c>
      <c r="W54">
        <v>1</v>
      </c>
      <c r="X54">
        <v>0.95652173913043403</v>
      </c>
      <c r="Y54">
        <v>0</v>
      </c>
      <c r="Z54">
        <v>2.4761904761904701</v>
      </c>
      <c r="AA54">
        <v>4.4827586206896504</v>
      </c>
      <c r="AB54">
        <v>6</v>
      </c>
      <c r="AC54">
        <v>2.80217391304347</v>
      </c>
    </row>
    <row r="55" spans="1:29" x14ac:dyDescent="0.35">
      <c r="A55" t="s">
        <v>131</v>
      </c>
      <c r="B55" t="s">
        <v>57</v>
      </c>
      <c r="C55" s="1">
        <v>45669</v>
      </c>
      <c r="D55" t="s">
        <v>31</v>
      </c>
      <c r="E55" s="2">
        <v>0.69791666666666663</v>
      </c>
      <c r="F55" t="s">
        <v>68</v>
      </c>
      <c r="G55">
        <v>27</v>
      </c>
      <c r="H55">
        <v>26</v>
      </c>
      <c r="I55">
        <v>14.2</v>
      </c>
      <c r="J55">
        <v>25</v>
      </c>
      <c r="K55" t="s">
        <v>46</v>
      </c>
      <c r="L55">
        <v>0</v>
      </c>
      <c r="M55" t="s">
        <v>34</v>
      </c>
      <c r="N55">
        <v>23</v>
      </c>
      <c r="O55">
        <v>18</v>
      </c>
      <c r="P55">
        <v>7.6</v>
      </c>
      <c r="Q55">
        <v>0</v>
      </c>
      <c r="R55">
        <v>16</v>
      </c>
      <c r="S55">
        <v>1</v>
      </c>
      <c r="T55">
        <v>6</v>
      </c>
      <c r="U55">
        <v>1</v>
      </c>
      <c r="V55" t="s">
        <v>35</v>
      </c>
      <c r="W55">
        <v>0</v>
      </c>
      <c r="X55">
        <v>0.78260869565217395</v>
      </c>
      <c r="Y55">
        <v>1</v>
      </c>
      <c r="Z55">
        <v>1.08</v>
      </c>
      <c r="AA55">
        <v>1.9014084507042199</v>
      </c>
      <c r="AB55">
        <v>1</v>
      </c>
      <c r="AC55">
        <v>8.3255319148936096</v>
      </c>
    </row>
    <row r="56" spans="1:29" x14ac:dyDescent="0.35">
      <c r="A56" t="s">
        <v>132</v>
      </c>
      <c r="B56" t="s">
        <v>60</v>
      </c>
      <c r="C56" s="1">
        <v>45658</v>
      </c>
      <c r="D56" t="s">
        <v>78</v>
      </c>
      <c r="E56" s="2">
        <v>0.32291666666666669</v>
      </c>
      <c r="F56" t="s">
        <v>55</v>
      </c>
      <c r="G56">
        <v>102</v>
      </c>
      <c r="H56">
        <v>98</v>
      </c>
      <c r="I56">
        <v>12.5</v>
      </c>
      <c r="J56">
        <v>22</v>
      </c>
      <c r="K56" t="s">
        <v>51</v>
      </c>
      <c r="L56">
        <v>1</v>
      </c>
      <c r="M56" t="s">
        <v>34</v>
      </c>
      <c r="N56">
        <v>39</v>
      </c>
      <c r="O56">
        <v>38</v>
      </c>
      <c r="P56">
        <v>1.6</v>
      </c>
      <c r="Q56">
        <v>0</v>
      </c>
      <c r="R56">
        <v>7</v>
      </c>
      <c r="S56">
        <v>1</v>
      </c>
      <c r="T56">
        <v>2</v>
      </c>
      <c r="U56">
        <v>0</v>
      </c>
      <c r="V56" t="s">
        <v>47</v>
      </c>
      <c r="W56">
        <v>0</v>
      </c>
      <c r="X56">
        <v>0.97435897435897401</v>
      </c>
      <c r="Y56">
        <v>0</v>
      </c>
      <c r="Z56">
        <v>4.6363636363636296</v>
      </c>
      <c r="AA56">
        <v>8.16</v>
      </c>
      <c r="AB56">
        <v>4</v>
      </c>
      <c r="AC56">
        <v>3.4760869565217298</v>
      </c>
    </row>
    <row r="57" spans="1:29" x14ac:dyDescent="0.35">
      <c r="A57" t="s">
        <v>133</v>
      </c>
      <c r="B57" t="s">
        <v>43</v>
      </c>
      <c r="C57" s="1">
        <v>45713</v>
      </c>
      <c r="D57" t="s">
        <v>44</v>
      </c>
      <c r="E57" s="2">
        <v>0.625</v>
      </c>
      <c r="F57" t="s">
        <v>100</v>
      </c>
      <c r="G57">
        <v>49</v>
      </c>
      <c r="H57">
        <v>43</v>
      </c>
      <c r="I57">
        <v>18.399999999999999</v>
      </c>
      <c r="J57">
        <v>32</v>
      </c>
      <c r="K57" t="s">
        <v>46</v>
      </c>
      <c r="L57">
        <v>0</v>
      </c>
      <c r="M57" t="s">
        <v>34</v>
      </c>
      <c r="N57">
        <v>19</v>
      </c>
      <c r="O57">
        <v>16</v>
      </c>
      <c r="P57">
        <v>7.8</v>
      </c>
      <c r="Q57">
        <v>0</v>
      </c>
      <c r="R57">
        <v>15</v>
      </c>
      <c r="S57">
        <v>2</v>
      </c>
      <c r="T57">
        <v>1</v>
      </c>
      <c r="U57">
        <v>0</v>
      </c>
      <c r="V57" t="s">
        <v>35</v>
      </c>
      <c r="W57">
        <v>0</v>
      </c>
      <c r="X57">
        <v>0.84210526315789402</v>
      </c>
      <c r="Y57">
        <v>1</v>
      </c>
      <c r="Z57">
        <v>1.53125</v>
      </c>
      <c r="AA57">
        <v>2.6630434782608599</v>
      </c>
      <c r="AB57">
        <v>6</v>
      </c>
      <c r="AC57">
        <v>8.6013888888888896</v>
      </c>
    </row>
    <row r="58" spans="1:29" x14ac:dyDescent="0.35">
      <c r="A58" t="s">
        <v>134</v>
      </c>
      <c r="B58" t="s">
        <v>106</v>
      </c>
      <c r="C58" s="1">
        <v>45705</v>
      </c>
      <c r="D58" t="s">
        <v>87</v>
      </c>
      <c r="E58" s="2">
        <v>0.67708333333333337</v>
      </c>
      <c r="F58" t="s">
        <v>107</v>
      </c>
      <c r="G58">
        <v>59</v>
      </c>
      <c r="H58">
        <v>54</v>
      </c>
      <c r="I58">
        <v>15</v>
      </c>
      <c r="J58">
        <v>28</v>
      </c>
      <c r="K58" t="s">
        <v>40</v>
      </c>
      <c r="L58">
        <v>0</v>
      </c>
      <c r="M58" t="s">
        <v>34</v>
      </c>
      <c r="N58">
        <v>32</v>
      </c>
      <c r="O58">
        <v>27</v>
      </c>
      <c r="P58">
        <v>8.8000000000000007</v>
      </c>
      <c r="Q58">
        <v>0</v>
      </c>
      <c r="R58">
        <v>16</v>
      </c>
      <c r="S58">
        <v>2</v>
      </c>
      <c r="T58">
        <v>0</v>
      </c>
      <c r="U58">
        <v>0</v>
      </c>
      <c r="V58" t="s">
        <v>35</v>
      </c>
      <c r="W58">
        <v>0</v>
      </c>
      <c r="X58">
        <v>0.84375</v>
      </c>
      <c r="Y58">
        <v>1</v>
      </c>
      <c r="Z58">
        <v>2.1071428571428501</v>
      </c>
      <c r="AA58">
        <v>3.93333333333333</v>
      </c>
      <c r="AB58">
        <v>5</v>
      </c>
      <c r="AC58">
        <v>9.4749999999999996</v>
      </c>
    </row>
    <row r="59" spans="1:29" x14ac:dyDescent="0.35">
      <c r="A59" t="s">
        <v>135</v>
      </c>
      <c r="B59" t="s">
        <v>102</v>
      </c>
      <c r="C59" s="1">
        <v>45689</v>
      </c>
      <c r="D59" t="s">
        <v>50</v>
      </c>
      <c r="E59" s="2">
        <v>0.64583333333333337</v>
      </c>
      <c r="F59" t="s">
        <v>45</v>
      </c>
      <c r="G59">
        <v>24</v>
      </c>
      <c r="H59">
        <v>22</v>
      </c>
      <c r="I59">
        <v>7.3</v>
      </c>
      <c r="J59">
        <v>13</v>
      </c>
      <c r="K59" t="s">
        <v>66</v>
      </c>
      <c r="L59">
        <v>0</v>
      </c>
      <c r="M59" t="s">
        <v>34</v>
      </c>
      <c r="N59">
        <v>38</v>
      </c>
      <c r="O59">
        <v>37</v>
      </c>
      <c r="P59">
        <v>2.4</v>
      </c>
      <c r="Q59">
        <v>0</v>
      </c>
      <c r="R59">
        <v>15</v>
      </c>
      <c r="S59">
        <v>2</v>
      </c>
      <c r="T59">
        <v>5</v>
      </c>
      <c r="U59">
        <v>1</v>
      </c>
      <c r="V59" t="s">
        <v>35</v>
      </c>
      <c r="W59">
        <v>0</v>
      </c>
      <c r="X59">
        <v>0.97368421052631504</v>
      </c>
      <c r="Y59">
        <v>0</v>
      </c>
      <c r="Z59">
        <v>1.84615384615384</v>
      </c>
      <c r="AA59">
        <v>3.2876712328767099</v>
      </c>
      <c r="AB59">
        <v>2</v>
      </c>
      <c r="AC59">
        <v>4.0518518518518496</v>
      </c>
    </row>
    <row r="60" spans="1:29" x14ac:dyDescent="0.35">
      <c r="A60" t="s">
        <v>136</v>
      </c>
      <c r="B60" t="s">
        <v>65</v>
      </c>
      <c r="C60" s="1">
        <v>45716</v>
      </c>
      <c r="D60" t="s">
        <v>38</v>
      </c>
      <c r="E60" s="2">
        <v>0.30208333333333331</v>
      </c>
      <c r="F60" t="s">
        <v>137</v>
      </c>
      <c r="G60">
        <v>82</v>
      </c>
      <c r="H60">
        <v>75</v>
      </c>
      <c r="I60">
        <v>6.8</v>
      </c>
      <c r="J60">
        <v>12</v>
      </c>
      <c r="K60" t="s">
        <v>66</v>
      </c>
      <c r="L60">
        <v>0</v>
      </c>
      <c r="M60" t="s">
        <v>34</v>
      </c>
      <c r="N60">
        <v>24</v>
      </c>
      <c r="O60">
        <v>23</v>
      </c>
      <c r="P60">
        <v>1.4</v>
      </c>
      <c r="Q60">
        <v>0</v>
      </c>
      <c r="R60">
        <v>7</v>
      </c>
      <c r="S60">
        <v>2</v>
      </c>
      <c r="T60">
        <v>4</v>
      </c>
      <c r="U60">
        <v>0</v>
      </c>
      <c r="V60" t="s">
        <v>47</v>
      </c>
      <c r="W60">
        <v>0</v>
      </c>
      <c r="X60">
        <v>0.95833333333333304</v>
      </c>
      <c r="Y60">
        <v>0</v>
      </c>
      <c r="Z60">
        <v>6.8333333333333304</v>
      </c>
      <c r="AA60">
        <v>12.058823529411701</v>
      </c>
      <c r="AB60">
        <v>7</v>
      </c>
      <c r="AC60">
        <v>2.7611111111111102</v>
      </c>
    </row>
    <row r="61" spans="1:29" x14ac:dyDescent="0.35">
      <c r="A61" t="s">
        <v>138</v>
      </c>
      <c r="B61" t="s">
        <v>49</v>
      </c>
      <c r="C61" s="1">
        <v>45713</v>
      </c>
      <c r="D61" t="s">
        <v>44</v>
      </c>
      <c r="E61" s="2">
        <v>0.40625</v>
      </c>
      <c r="F61" t="s">
        <v>68</v>
      </c>
      <c r="G61">
        <v>77</v>
      </c>
      <c r="H61">
        <v>76</v>
      </c>
      <c r="I61">
        <v>8.1999999999999993</v>
      </c>
      <c r="J61">
        <v>15</v>
      </c>
      <c r="K61" t="s">
        <v>51</v>
      </c>
      <c r="L61">
        <v>0</v>
      </c>
      <c r="M61" t="s">
        <v>34</v>
      </c>
      <c r="N61">
        <v>29</v>
      </c>
      <c r="O61">
        <v>28</v>
      </c>
      <c r="P61">
        <v>2.6</v>
      </c>
      <c r="Q61">
        <v>0</v>
      </c>
      <c r="R61">
        <v>9</v>
      </c>
      <c r="S61">
        <v>2</v>
      </c>
      <c r="T61">
        <v>1</v>
      </c>
      <c r="U61">
        <v>0</v>
      </c>
      <c r="V61" t="s">
        <v>47</v>
      </c>
      <c r="W61">
        <v>0</v>
      </c>
      <c r="X61">
        <v>0.96551724137931005</v>
      </c>
      <c r="Y61">
        <v>0</v>
      </c>
      <c r="Z61">
        <v>5.1333333333333302</v>
      </c>
      <c r="AA61">
        <v>9.3902439024390194</v>
      </c>
      <c r="AB61">
        <v>1</v>
      </c>
      <c r="AC61">
        <v>3.6937500000000001</v>
      </c>
    </row>
    <row r="62" spans="1:29" x14ac:dyDescent="0.35">
      <c r="A62" t="s">
        <v>139</v>
      </c>
      <c r="B62" t="s">
        <v>72</v>
      </c>
      <c r="C62" s="1">
        <v>45663</v>
      </c>
      <c r="D62" t="s">
        <v>87</v>
      </c>
      <c r="E62" s="2">
        <v>0.94791666666666663</v>
      </c>
      <c r="F62" t="s">
        <v>45</v>
      </c>
      <c r="G62">
        <v>44</v>
      </c>
      <c r="H62">
        <v>41</v>
      </c>
      <c r="I62">
        <v>11.6</v>
      </c>
      <c r="J62">
        <v>21</v>
      </c>
      <c r="K62" t="s">
        <v>33</v>
      </c>
      <c r="L62">
        <v>0</v>
      </c>
      <c r="M62" t="s">
        <v>34</v>
      </c>
      <c r="N62">
        <v>24</v>
      </c>
      <c r="O62">
        <v>24</v>
      </c>
      <c r="P62">
        <v>4.8</v>
      </c>
      <c r="Q62">
        <v>0</v>
      </c>
      <c r="R62">
        <v>22</v>
      </c>
      <c r="S62">
        <v>1</v>
      </c>
      <c r="T62">
        <v>0</v>
      </c>
      <c r="U62">
        <v>0</v>
      </c>
      <c r="V62" t="s">
        <v>35</v>
      </c>
      <c r="W62">
        <v>0</v>
      </c>
      <c r="X62">
        <v>1</v>
      </c>
      <c r="Y62">
        <v>0</v>
      </c>
      <c r="Z62">
        <v>2.09523809523809</v>
      </c>
      <c r="AA62">
        <v>3.7931034482758599</v>
      </c>
      <c r="AB62">
        <v>3</v>
      </c>
      <c r="AC62">
        <v>2.80217391304347</v>
      </c>
    </row>
    <row r="63" spans="1:29" x14ac:dyDescent="0.35">
      <c r="A63" t="s">
        <v>140</v>
      </c>
      <c r="B63" t="s">
        <v>30</v>
      </c>
      <c r="C63" s="1">
        <v>45709</v>
      </c>
      <c r="D63" t="s">
        <v>38</v>
      </c>
      <c r="E63" s="2">
        <v>0.89583333333333337</v>
      </c>
      <c r="F63" t="s">
        <v>32</v>
      </c>
      <c r="G63">
        <v>47</v>
      </c>
      <c r="H63">
        <v>43</v>
      </c>
      <c r="I63">
        <v>10.1</v>
      </c>
      <c r="J63">
        <v>19</v>
      </c>
      <c r="K63" t="s">
        <v>33</v>
      </c>
      <c r="L63">
        <v>0</v>
      </c>
      <c r="M63" t="s">
        <v>34</v>
      </c>
      <c r="N63">
        <v>32</v>
      </c>
      <c r="O63">
        <v>30</v>
      </c>
      <c r="P63">
        <v>6.1</v>
      </c>
      <c r="Q63">
        <v>0</v>
      </c>
      <c r="R63">
        <v>21</v>
      </c>
      <c r="S63">
        <v>2</v>
      </c>
      <c r="T63">
        <v>4</v>
      </c>
      <c r="U63">
        <v>0</v>
      </c>
      <c r="V63" t="s">
        <v>35</v>
      </c>
      <c r="W63">
        <v>0</v>
      </c>
      <c r="X63">
        <v>0.9375</v>
      </c>
      <c r="Y63">
        <v>1</v>
      </c>
      <c r="Z63">
        <v>2.4736842105263102</v>
      </c>
      <c r="AA63">
        <v>4.6534653465346496</v>
      </c>
      <c r="AB63">
        <v>4</v>
      </c>
      <c r="AC63">
        <v>3.6613636363636299</v>
      </c>
    </row>
    <row r="64" spans="1:29" x14ac:dyDescent="0.35">
      <c r="A64" t="s">
        <v>141</v>
      </c>
      <c r="B64" t="s">
        <v>49</v>
      </c>
      <c r="C64" s="1">
        <v>45662</v>
      </c>
      <c r="D64" t="s">
        <v>31</v>
      </c>
      <c r="E64" s="2">
        <v>0.70833333333333337</v>
      </c>
      <c r="F64" t="s">
        <v>107</v>
      </c>
      <c r="G64">
        <v>48</v>
      </c>
      <c r="H64">
        <v>42</v>
      </c>
      <c r="I64">
        <v>8.1999999999999993</v>
      </c>
      <c r="J64">
        <v>15</v>
      </c>
      <c r="K64" t="s">
        <v>51</v>
      </c>
      <c r="L64">
        <v>0</v>
      </c>
      <c r="M64" t="s">
        <v>34</v>
      </c>
      <c r="N64">
        <v>25</v>
      </c>
      <c r="O64">
        <v>25</v>
      </c>
      <c r="P64">
        <v>0.5</v>
      </c>
      <c r="Q64">
        <v>0</v>
      </c>
      <c r="R64">
        <v>17</v>
      </c>
      <c r="S64">
        <v>1</v>
      </c>
      <c r="T64">
        <v>6</v>
      </c>
      <c r="U64">
        <v>1</v>
      </c>
      <c r="V64" t="s">
        <v>41</v>
      </c>
      <c r="W64">
        <v>0</v>
      </c>
      <c r="X64">
        <v>1</v>
      </c>
      <c r="Y64">
        <v>0</v>
      </c>
      <c r="Z64">
        <v>3.2</v>
      </c>
      <c r="AA64">
        <v>5.8536585365853604</v>
      </c>
      <c r="AB64">
        <v>6</v>
      </c>
      <c r="AC64">
        <v>3.6937500000000001</v>
      </c>
    </row>
    <row r="65" spans="1:29" x14ac:dyDescent="0.35">
      <c r="A65" t="s">
        <v>142</v>
      </c>
      <c r="B65" t="s">
        <v>72</v>
      </c>
      <c r="C65" s="1">
        <v>45677</v>
      </c>
      <c r="D65" t="s">
        <v>87</v>
      </c>
      <c r="E65" s="2">
        <v>0.84375</v>
      </c>
      <c r="F65" t="s">
        <v>110</v>
      </c>
      <c r="G65">
        <v>39</v>
      </c>
      <c r="H65">
        <v>35</v>
      </c>
      <c r="I65">
        <v>11.6</v>
      </c>
      <c r="J65">
        <v>21</v>
      </c>
      <c r="K65" t="s">
        <v>33</v>
      </c>
      <c r="L65">
        <v>0</v>
      </c>
      <c r="M65" t="s">
        <v>34</v>
      </c>
      <c r="N65">
        <v>25</v>
      </c>
      <c r="O65">
        <v>25</v>
      </c>
      <c r="P65">
        <v>2.8</v>
      </c>
      <c r="Q65">
        <v>1</v>
      </c>
      <c r="R65">
        <v>20</v>
      </c>
      <c r="S65">
        <v>1</v>
      </c>
      <c r="T65">
        <v>0</v>
      </c>
      <c r="U65">
        <v>0</v>
      </c>
      <c r="V65" t="s">
        <v>35</v>
      </c>
      <c r="W65">
        <v>0</v>
      </c>
      <c r="X65">
        <v>1</v>
      </c>
      <c r="Y65">
        <v>0</v>
      </c>
      <c r="Z65">
        <v>1.8571428571428501</v>
      </c>
      <c r="AA65">
        <v>3.3620689655172402</v>
      </c>
      <c r="AB65">
        <v>4</v>
      </c>
      <c r="AC65">
        <v>2.80217391304347</v>
      </c>
    </row>
    <row r="66" spans="1:29" x14ac:dyDescent="0.35">
      <c r="A66" t="s">
        <v>143</v>
      </c>
      <c r="B66" t="s">
        <v>57</v>
      </c>
      <c r="C66" s="1">
        <v>45666</v>
      </c>
      <c r="D66" t="s">
        <v>54</v>
      </c>
      <c r="E66" s="2">
        <v>0.21875</v>
      </c>
      <c r="F66" t="s">
        <v>55</v>
      </c>
      <c r="G66">
        <v>122.625</v>
      </c>
      <c r="H66">
        <v>31</v>
      </c>
      <c r="I66">
        <v>14.2</v>
      </c>
      <c r="J66">
        <v>25</v>
      </c>
      <c r="K66" t="s">
        <v>46</v>
      </c>
      <c r="L66">
        <v>0</v>
      </c>
      <c r="M66" t="s">
        <v>34</v>
      </c>
      <c r="N66">
        <v>19</v>
      </c>
      <c r="O66">
        <v>17</v>
      </c>
      <c r="P66">
        <v>9.9</v>
      </c>
      <c r="Q66">
        <v>0</v>
      </c>
      <c r="R66">
        <v>5</v>
      </c>
      <c r="S66">
        <v>1</v>
      </c>
      <c r="T66">
        <v>3</v>
      </c>
      <c r="U66">
        <v>0</v>
      </c>
      <c r="V66" t="s">
        <v>35</v>
      </c>
      <c r="W66">
        <v>0</v>
      </c>
      <c r="X66">
        <v>0.89473684210526305</v>
      </c>
      <c r="Y66">
        <v>1</v>
      </c>
      <c r="Z66">
        <v>4.9050000000000002</v>
      </c>
      <c r="AA66">
        <v>8.63556338028169</v>
      </c>
      <c r="AB66">
        <v>91.625</v>
      </c>
      <c r="AC66">
        <v>8.3255319148936096</v>
      </c>
    </row>
    <row r="67" spans="1:29" x14ac:dyDescent="0.35">
      <c r="A67" t="s">
        <v>144</v>
      </c>
      <c r="B67" t="s">
        <v>60</v>
      </c>
      <c r="C67" s="1">
        <v>45662</v>
      </c>
      <c r="D67" t="s">
        <v>31</v>
      </c>
      <c r="E67" s="2">
        <v>0.38541666666666669</v>
      </c>
      <c r="F67" t="s">
        <v>39</v>
      </c>
      <c r="G67">
        <v>65</v>
      </c>
      <c r="H67">
        <v>60</v>
      </c>
      <c r="I67">
        <v>12.5</v>
      </c>
      <c r="J67">
        <v>22</v>
      </c>
      <c r="K67" t="s">
        <v>51</v>
      </c>
      <c r="L67">
        <v>0</v>
      </c>
      <c r="M67" t="s">
        <v>34</v>
      </c>
      <c r="N67">
        <v>19</v>
      </c>
      <c r="O67">
        <v>18</v>
      </c>
      <c r="P67">
        <v>4.4000000000000004</v>
      </c>
      <c r="Q67">
        <v>0</v>
      </c>
      <c r="R67">
        <v>9</v>
      </c>
      <c r="S67">
        <v>1</v>
      </c>
      <c r="T67">
        <v>6</v>
      </c>
      <c r="U67">
        <v>1</v>
      </c>
      <c r="V67" t="s">
        <v>47</v>
      </c>
      <c r="W67">
        <v>0</v>
      </c>
      <c r="X67">
        <v>0.94736842105263097</v>
      </c>
      <c r="Y67">
        <v>0</v>
      </c>
      <c r="Z67">
        <v>2.9545454545454501</v>
      </c>
      <c r="AA67">
        <v>5.2</v>
      </c>
      <c r="AB67">
        <v>5</v>
      </c>
      <c r="AC67">
        <v>3.4760869565217298</v>
      </c>
    </row>
    <row r="68" spans="1:29" x14ac:dyDescent="0.35">
      <c r="A68" t="s">
        <v>145</v>
      </c>
      <c r="B68" t="s">
        <v>57</v>
      </c>
      <c r="C68" s="1">
        <v>45697</v>
      </c>
      <c r="D68" t="s">
        <v>31</v>
      </c>
      <c r="E68" s="2">
        <v>0.70833333333333337</v>
      </c>
      <c r="F68" t="s">
        <v>32</v>
      </c>
      <c r="G68">
        <v>61</v>
      </c>
      <c r="H68">
        <v>55</v>
      </c>
      <c r="I68">
        <v>14.2</v>
      </c>
      <c r="J68">
        <v>25</v>
      </c>
      <c r="K68" t="s">
        <v>46</v>
      </c>
      <c r="L68">
        <v>0</v>
      </c>
      <c r="M68" t="s">
        <v>34</v>
      </c>
      <c r="N68">
        <v>37</v>
      </c>
      <c r="O68">
        <v>31</v>
      </c>
      <c r="P68">
        <v>12.3</v>
      </c>
      <c r="Q68">
        <v>0</v>
      </c>
      <c r="R68">
        <v>17</v>
      </c>
      <c r="S68">
        <v>2</v>
      </c>
      <c r="T68">
        <v>6</v>
      </c>
      <c r="U68">
        <v>1</v>
      </c>
      <c r="V68" t="s">
        <v>41</v>
      </c>
      <c r="W68">
        <v>0</v>
      </c>
      <c r="X68">
        <v>0.83783783783783705</v>
      </c>
      <c r="Y68">
        <v>1</v>
      </c>
      <c r="Z68">
        <v>2.44</v>
      </c>
      <c r="AA68">
        <v>4.2957746478873204</v>
      </c>
      <c r="AB68">
        <v>6</v>
      </c>
      <c r="AC68">
        <v>8.3255319148936096</v>
      </c>
    </row>
    <row r="69" spans="1:29" x14ac:dyDescent="0.35">
      <c r="A69" t="s">
        <v>146</v>
      </c>
      <c r="B69" t="s">
        <v>72</v>
      </c>
      <c r="C69" s="1">
        <v>45709</v>
      </c>
      <c r="D69" t="s">
        <v>38</v>
      </c>
      <c r="E69" s="2">
        <v>0.29166666666666669</v>
      </c>
      <c r="F69" t="s">
        <v>32</v>
      </c>
      <c r="G69">
        <v>92</v>
      </c>
      <c r="H69">
        <v>84</v>
      </c>
      <c r="I69">
        <v>11.6</v>
      </c>
      <c r="J69">
        <v>21</v>
      </c>
      <c r="K69" t="s">
        <v>33</v>
      </c>
      <c r="L69">
        <v>0</v>
      </c>
      <c r="M69" t="s">
        <v>34</v>
      </c>
      <c r="N69">
        <v>22</v>
      </c>
      <c r="O69">
        <v>21</v>
      </c>
      <c r="P69">
        <v>0.2</v>
      </c>
      <c r="Q69">
        <v>0</v>
      </c>
      <c r="R69">
        <v>7</v>
      </c>
      <c r="S69">
        <v>2</v>
      </c>
      <c r="T69">
        <v>4</v>
      </c>
      <c r="U69">
        <v>0</v>
      </c>
      <c r="V69" t="s">
        <v>47</v>
      </c>
      <c r="W69">
        <v>0</v>
      </c>
      <c r="X69">
        <v>0.95454545454545403</v>
      </c>
      <c r="Y69">
        <v>0</v>
      </c>
      <c r="Z69">
        <v>4.3809523809523796</v>
      </c>
      <c r="AA69">
        <v>7.9310344827586201</v>
      </c>
      <c r="AB69">
        <v>8</v>
      </c>
      <c r="AC69">
        <v>2.80217391304347</v>
      </c>
    </row>
    <row r="70" spans="1:29" x14ac:dyDescent="0.35">
      <c r="A70" t="s">
        <v>147</v>
      </c>
      <c r="B70" t="s">
        <v>106</v>
      </c>
      <c r="C70" s="1">
        <v>45675</v>
      </c>
      <c r="D70" t="s">
        <v>50</v>
      </c>
      <c r="E70" s="2">
        <v>0.94791666666666663</v>
      </c>
      <c r="F70" t="s">
        <v>45</v>
      </c>
      <c r="G70">
        <v>56</v>
      </c>
      <c r="H70">
        <v>49</v>
      </c>
      <c r="I70">
        <v>15</v>
      </c>
      <c r="J70">
        <v>28</v>
      </c>
      <c r="K70" t="s">
        <v>40</v>
      </c>
      <c r="L70">
        <v>0</v>
      </c>
      <c r="M70" t="s">
        <v>148</v>
      </c>
      <c r="N70">
        <v>30</v>
      </c>
      <c r="O70">
        <v>28</v>
      </c>
      <c r="P70">
        <v>9.1</v>
      </c>
      <c r="Q70">
        <v>0</v>
      </c>
      <c r="R70">
        <v>22</v>
      </c>
      <c r="S70">
        <v>1</v>
      </c>
      <c r="T70">
        <v>5</v>
      </c>
      <c r="U70">
        <v>1</v>
      </c>
      <c r="V70" t="s">
        <v>35</v>
      </c>
      <c r="W70">
        <v>1</v>
      </c>
      <c r="X70">
        <v>0.93333333333333302</v>
      </c>
      <c r="Y70">
        <v>1</v>
      </c>
      <c r="Z70">
        <v>2</v>
      </c>
      <c r="AA70">
        <v>3.7333333333333298</v>
      </c>
      <c r="AB70">
        <v>7</v>
      </c>
      <c r="AC70">
        <v>9.4749999999999996</v>
      </c>
    </row>
    <row r="71" spans="1:29" x14ac:dyDescent="0.35">
      <c r="A71" t="s">
        <v>149</v>
      </c>
      <c r="B71" t="s">
        <v>65</v>
      </c>
      <c r="C71" s="1">
        <v>45661</v>
      </c>
      <c r="D71" t="s">
        <v>50</v>
      </c>
      <c r="E71" s="2">
        <v>0.52083333333333337</v>
      </c>
      <c r="F71" t="s">
        <v>150</v>
      </c>
      <c r="G71">
        <v>26</v>
      </c>
      <c r="H71">
        <v>25</v>
      </c>
      <c r="I71">
        <v>6.8</v>
      </c>
      <c r="J71">
        <v>12</v>
      </c>
      <c r="K71" t="s">
        <v>66</v>
      </c>
      <c r="L71">
        <v>0</v>
      </c>
      <c r="M71" t="s">
        <v>34</v>
      </c>
      <c r="N71">
        <v>20</v>
      </c>
      <c r="O71">
        <v>19</v>
      </c>
      <c r="P71">
        <v>2.8</v>
      </c>
      <c r="Q71">
        <v>1</v>
      </c>
      <c r="R71">
        <v>12</v>
      </c>
      <c r="S71">
        <v>1</v>
      </c>
      <c r="T71">
        <v>5</v>
      </c>
      <c r="U71">
        <v>1</v>
      </c>
      <c r="V71" t="s">
        <v>35</v>
      </c>
      <c r="W71">
        <v>0</v>
      </c>
      <c r="X71">
        <v>0.95</v>
      </c>
      <c r="Y71">
        <v>0</v>
      </c>
      <c r="Z71">
        <v>2.1666666666666599</v>
      </c>
      <c r="AA71">
        <v>3.8235294117646998</v>
      </c>
      <c r="AB71">
        <v>1</v>
      </c>
      <c r="AC71">
        <v>2.7611111111111102</v>
      </c>
    </row>
    <row r="72" spans="1:29" x14ac:dyDescent="0.35">
      <c r="A72" t="s">
        <v>151</v>
      </c>
      <c r="B72" t="s">
        <v>60</v>
      </c>
      <c r="C72" s="1">
        <v>45675</v>
      </c>
      <c r="D72" t="s">
        <v>50</v>
      </c>
      <c r="E72" s="2">
        <v>0.26041666666666669</v>
      </c>
      <c r="F72" t="s">
        <v>82</v>
      </c>
      <c r="G72">
        <v>57</v>
      </c>
      <c r="H72">
        <v>54</v>
      </c>
      <c r="I72">
        <v>12.5</v>
      </c>
      <c r="J72">
        <v>22</v>
      </c>
      <c r="K72" t="s">
        <v>51</v>
      </c>
      <c r="L72">
        <v>0</v>
      </c>
      <c r="M72" t="s">
        <v>148</v>
      </c>
      <c r="N72">
        <v>28</v>
      </c>
      <c r="O72">
        <v>28</v>
      </c>
      <c r="P72">
        <v>5.8</v>
      </c>
      <c r="Q72">
        <v>0</v>
      </c>
      <c r="R72">
        <v>6</v>
      </c>
      <c r="S72">
        <v>1</v>
      </c>
      <c r="T72">
        <v>5</v>
      </c>
      <c r="U72">
        <v>1</v>
      </c>
      <c r="V72" t="s">
        <v>35</v>
      </c>
      <c r="W72">
        <v>1</v>
      </c>
      <c r="X72">
        <v>1</v>
      </c>
      <c r="Y72">
        <v>1</v>
      </c>
      <c r="Z72">
        <v>2.5909090909090899</v>
      </c>
      <c r="AA72">
        <v>4.5599999999999996</v>
      </c>
      <c r="AB72">
        <v>3</v>
      </c>
      <c r="AC72">
        <v>3.4760869565217298</v>
      </c>
    </row>
    <row r="73" spans="1:29" x14ac:dyDescent="0.35">
      <c r="A73" t="s">
        <v>152</v>
      </c>
      <c r="B73" t="s">
        <v>49</v>
      </c>
      <c r="C73" s="1">
        <v>45709</v>
      </c>
      <c r="D73" t="s">
        <v>38</v>
      </c>
      <c r="E73" s="2">
        <v>0.58333333333333337</v>
      </c>
      <c r="F73" t="s">
        <v>32</v>
      </c>
      <c r="G73">
        <v>38</v>
      </c>
      <c r="H73">
        <v>33</v>
      </c>
      <c r="I73">
        <v>8.1999999999999993</v>
      </c>
      <c r="J73">
        <v>15</v>
      </c>
      <c r="K73" t="s">
        <v>51</v>
      </c>
      <c r="L73">
        <v>0</v>
      </c>
      <c r="M73" t="s">
        <v>34</v>
      </c>
      <c r="N73">
        <v>36</v>
      </c>
      <c r="O73">
        <v>36</v>
      </c>
      <c r="P73">
        <v>0.5</v>
      </c>
      <c r="Q73">
        <v>0</v>
      </c>
      <c r="R73">
        <v>14</v>
      </c>
      <c r="S73">
        <v>2</v>
      </c>
      <c r="T73">
        <v>4</v>
      </c>
      <c r="U73">
        <v>0</v>
      </c>
      <c r="V73" t="s">
        <v>35</v>
      </c>
      <c r="W73">
        <v>0</v>
      </c>
      <c r="X73">
        <v>1</v>
      </c>
      <c r="Y73">
        <v>0</v>
      </c>
      <c r="Z73">
        <v>2.5333333333333301</v>
      </c>
      <c r="AA73">
        <v>4.6341463414634099</v>
      </c>
      <c r="AB73">
        <v>5</v>
      </c>
      <c r="AC73">
        <v>3.6937500000000001</v>
      </c>
    </row>
    <row r="74" spans="1:29" x14ac:dyDescent="0.35">
      <c r="A74" t="s">
        <v>153</v>
      </c>
      <c r="B74" t="s">
        <v>57</v>
      </c>
      <c r="C74" s="1">
        <v>45700</v>
      </c>
      <c r="D74" t="s">
        <v>78</v>
      </c>
      <c r="E74" s="2">
        <v>0.59375</v>
      </c>
      <c r="F74" t="s">
        <v>61</v>
      </c>
      <c r="G74">
        <v>50</v>
      </c>
      <c r="H74">
        <v>46</v>
      </c>
      <c r="I74">
        <v>14.2</v>
      </c>
      <c r="J74">
        <v>25</v>
      </c>
      <c r="K74" t="s">
        <v>46</v>
      </c>
      <c r="L74">
        <v>0</v>
      </c>
      <c r="M74" t="s">
        <v>34</v>
      </c>
      <c r="N74">
        <v>22</v>
      </c>
      <c r="O74">
        <v>21</v>
      </c>
      <c r="P74">
        <v>5.4</v>
      </c>
      <c r="Q74">
        <v>0</v>
      </c>
      <c r="R74">
        <v>14</v>
      </c>
      <c r="S74">
        <v>2</v>
      </c>
      <c r="T74">
        <v>2</v>
      </c>
      <c r="U74">
        <v>0</v>
      </c>
      <c r="V74" t="s">
        <v>35</v>
      </c>
      <c r="W74">
        <v>0</v>
      </c>
      <c r="X74">
        <v>0.95454545454545403</v>
      </c>
      <c r="Y74">
        <v>1</v>
      </c>
      <c r="Z74">
        <v>2</v>
      </c>
      <c r="AA74">
        <v>3.52112676056338</v>
      </c>
      <c r="AB74">
        <v>4</v>
      </c>
      <c r="AC74">
        <v>8.3255319148936096</v>
      </c>
    </row>
    <row r="75" spans="1:29" x14ac:dyDescent="0.35">
      <c r="A75" t="s">
        <v>154</v>
      </c>
      <c r="B75" t="s">
        <v>43</v>
      </c>
      <c r="C75" s="1">
        <v>45665</v>
      </c>
      <c r="D75" t="s">
        <v>78</v>
      </c>
      <c r="E75" s="2">
        <v>0.29166666666666669</v>
      </c>
      <c r="F75" t="s">
        <v>125</v>
      </c>
      <c r="G75">
        <v>101</v>
      </c>
      <c r="H75">
        <v>92</v>
      </c>
      <c r="I75">
        <v>18.399999999999999</v>
      </c>
      <c r="J75">
        <v>32</v>
      </c>
      <c r="K75" t="s">
        <v>46</v>
      </c>
      <c r="L75">
        <v>0</v>
      </c>
      <c r="M75" t="s">
        <v>34</v>
      </c>
      <c r="N75">
        <v>25</v>
      </c>
      <c r="O75">
        <v>24</v>
      </c>
      <c r="P75">
        <v>8.8000000000000007</v>
      </c>
      <c r="Q75">
        <v>1</v>
      </c>
      <c r="R75">
        <v>7</v>
      </c>
      <c r="S75">
        <v>1</v>
      </c>
      <c r="T75">
        <v>2</v>
      </c>
      <c r="U75">
        <v>0</v>
      </c>
      <c r="V75" t="s">
        <v>47</v>
      </c>
      <c r="W75">
        <v>0</v>
      </c>
      <c r="X75">
        <v>0.96</v>
      </c>
      <c r="Y75">
        <v>1</v>
      </c>
      <c r="Z75">
        <v>3.15625</v>
      </c>
      <c r="AA75">
        <v>5.4891304347826004</v>
      </c>
      <c r="AB75">
        <v>9</v>
      </c>
      <c r="AC75">
        <v>8.6013888888888896</v>
      </c>
    </row>
    <row r="76" spans="1:29" x14ac:dyDescent="0.35">
      <c r="A76" t="s">
        <v>155</v>
      </c>
      <c r="B76" t="s">
        <v>106</v>
      </c>
      <c r="C76" s="1">
        <v>45660</v>
      </c>
      <c r="D76" t="s">
        <v>38</v>
      </c>
      <c r="E76" s="2">
        <v>0.35416666666666669</v>
      </c>
      <c r="F76" t="s">
        <v>89</v>
      </c>
      <c r="G76">
        <v>82</v>
      </c>
      <c r="H76">
        <v>79</v>
      </c>
      <c r="I76">
        <v>15</v>
      </c>
      <c r="J76">
        <v>28</v>
      </c>
      <c r="K76" t="s">
        <v>40</v>
      </c>
      <c r="L76">
        <v>0</v>
      </c>
      <c r="M76" t="s">
        <v>34</v>
      </c>
      <c r="N76">
        <v>29</v>
      </c>
      <c r="O76">
        <v>26</v>
      </c>
      <c r="P76">
        <v>8.6</v>
      </c>
      <c r="Q76">
        <v>0</v>
      </c>
      <c r="R76">
        <v>8</v>
      </c>
      <c r="S76">
        <v>1</v>
      </c>
      <c r="T76">
        <v>4</v>
      </c>
      <c r="U76">
        <v>0</v>
      </c>
      <c r="V76" t="s">
        <v>47</v>
      </c>
      <c r="W76">
        <v>0</v>
      </c>
      <c r="X76">
        <v>0.89655172413793105</v>
      </c>
      <c r="Y76">
        <v>1</v>
      </c>
      <c r="Z76">
        <v>2.9285714285714199</v>
      </c>
      <c r="AA76">
        <v>5.4666666666666597</v>
      </c>
      <c r="AB76">
        <v>3</v>
      </c>
      <c r="AC76">
        <v>9.4749999999999996</v>
      </c>
    </row>
    <row r="77" spans="1:29" x14ac:dyDescent="0.35">
      <c r="A77" t="s">
        <v>156</v>
      </c>
      <c r="B77" t="s">
        <v>60</v>
      </c>
      <c r="C77" s="1">
        <v>45663</v>
      </c>
      <c r="D77" t="s">
        <v>87</v>
      </c>
      <c r="E77" s="2">
        <v>0.73958333333333337</v>
      </c>
      <c r="F77" t="s">
        <v>107</v>
      </c>
      <c r="G77">
        <v>78</v>
      </c>
      <c r="H77">
        <v>76</v>
      </c>
      <c r="I77">
        <v>12.5</v>
      </c>
      <c r="J77">
        <v>22</v>
      </c>
      <c r="K77" t="s">
        <v>51</v>
      </c>
      <c r="L77">
        <v>0</v>
      </c>
      <c r="M77" t="s">
        <v>34</v>
      </c>
      <c r="N77">
        <v>38</v>
      </c>
      <c r="O77">
        <v>35</v>
      </c>
      <c r="P77">
        <v>5.9</v>
      </c>
      <c r="Q77">
        <v>0</v>
      </c>
      <c r="R77">
        <v>17</v>
      </c>
      <c r="S77">
        <v>1</v>
      </c>
      <c r="T77">
        <v>0</v>
      </c>
      <c r="U77">
        <v>0</v>
      </c>
      <c r="V77" t="s">
        <v>41</v>
      </c>
      <c r="W77">
        <v>0</v>
      </c>
      <c r="X77">
        <v>0.92105263157894701</v>
      </c>
      <c r="Y77">
        <v>1</v>
      </c>
      <c r="Z77">
        <v>3.5454545454545401</v>
      </c>
      <c r="AA77">
        <v>6.24</v>
      </c>
      <c r="AB77">
        <v>2</v>
      </c>
      <c r="AC77">
        <v>3.4760869565217298</v>
      </c>
    </row>
    <row r="78" spans="1:29" x14ac:dyDescent="0.35">
      <c r="A78" t="s">
        <v>157</v>
      </c>
      <c r="B78" t="s">
        <v>49</v>
      </c>
      <c r="C78" s="1">
        <v>45702</v>
      </c>
      <c r="D78" t="s">
        <v>38</v>
      </c>
      <c r="E78" s="2">
        <v>0.25</v>
      </c>
      <c r="F78" t="s">
        <v>119</v>
      </c>
      <c r="G78">
        <v>49</v>
      </c>
      <c r="H78">
        <v>48</v>
      </c>
      <c r="I78">
        <v>8.1999999999999993</v>
      </c>
      <c r="J78">
        <v>15</v>
      </c>
      <c r="K78" t="s">
        <v>51</v>
      </c>
      <c r="L78">
        <v>0</v>
      </c>
      <c r="M78" t="s">
        <v>34</v>
      </c>
      <c r="N78">
        <v>36</v>
      </c>
      <c r="O78">
        <v>34</v>
      </c>
      <c r="P78">
        <v>0.9</v>
      </c>
      <c r="Q78">
        <v>0</v>
      </c>
      <c r="R78">
        <v>6</v>
      </c>
      <c r="S78">
        <v>2</v>
      </c>
      <c r="T78">
        <v>4</v>
      </c>
      <c r="U78">
        <v>0</v>
      </c>
      <c r="V78" t="s">
        <v>35</v>
      </c>
      <c r="W78">
        <v>0</v>
      </c>
      <c r="X78">
        <v>0.94444444444444398</v>
      </c>
      <c r="Y78">
        <v>0</v>
      </c>
      <c r="Z78">
        <v>3.2666666666666599</v>
      </c>
      <c r="AA78">
        <v>5.9756097560975601</v>
      </c>
      <c r="AB78">
        <v>1</v>
      </c>
      <c r="AC78">
        <v>3.6937500000000001</v>
      </c>
    </row>
    <row r="79" spans="1:29" x14ac:dyDescent="0.35">
      <c r="A79" t="s">
        <v>158</v>
      </c>
      <c r="B79" t="s">
        <v>60</v>
      </c>
      <c r="C79" s="1">
        <v>45667</v>
      </c>
      <c r="D79" t="s">
        <v>38</v>
      </c>
      <c r="E79" s="2">
        <v>0.625</v>
      </c>
      <c r="F79" t="s">
        <v>107</v>
      </c>
      <c r="G79">
        <v>54</v>
      </c>
      <c r="H79">
        <v>53</v>
      </c>
      <c r="I79">
        <v>12.5</v>
      </c>
      <c r="J79">
        <v>22</v>
      </c>
      <c r="K79" t="s">
        <v>51</v>
      </c>
      <c r="L79">
        <v>0</v>
      </c>
      <c r="M79" t="s">
        <v>34</v>
      </c>
      <c r="N79">
        <v>22</v>
      </c>
      <c r="O79">
        <v>22</v>
      </c>
      <c r="P79">
        <v>4.5</v>
      </c>
      <c r="Q79">
        <v>0</v>
      </c>
      <c r="R79">
        <v>15</v>
      </c>
      <c r="S79">
        <v>1</v>
      </c>
      <c r="T79">
        <v>4</v>
      </c>
      <c r="U79">
        <v>0</v>
      </c>
      <c r="V79" t="s">
        <v>35</v>
      </c>
      <c r="W79">
        <v>0</v>
      </c>
      <c r="X79">
        <v>1</v>
      </c>
      <c r="Y79">
        <v>0</v>
      </c>
      <c r="Z79">
        <v>2.4545454545454501</v>
      </c>
      <c r="AA79">
        <v>4.32</v>
      </c>
      <c r="AB79">
        <v>1</v>
      </c>
      <c r="AC79">
        <v>3.4760869565217298</v>
      </c>
    </row>
    <row r="80" spans="1:29" x14ac:dyDescent="0.35">
      <c r="A80" t="s">
        <v>159</v>
      </c>
      <c r="B80" t="s">
        <v>106</v>
      </c>
      <c r="C80" s="1">
        <v>45685</v>
      </c>
      <c r="D80" t="s">
        <v>44</v>
      </c>
      <c r="E80" s="2">
        <v>0.52083333333333337</v>
      </c>
      <c r="F80" t="s">
        <v>68</v>
      </c>
      <c r="G80">
        <v>45</v>
      </c>
      <c r="H80">
        <v>41</v>
      </c>
      <c r="I80">
        <v>15</v>
      </c>
      <c r="J80">
        <v>28</v>
      </c>
      <c r="K80" t="s">
        <v>40</v>
      </c>
      <c r="L80">
        <v>0</v>
      </c>
      <c r="M80" t="s">
        <v>34</v>
      </c>
      <c r="N80">
        <v>18</v>
      </c>
      <c r="O80">
        <v>15</v>
      </c>
      <c r="P80">
        <v>16.2</v>
      </c>
      <c r="Q80">
        <v>0</v>
      </c>
      <c r="R80">
        <v>12</v>
      </c>
      <c r="S80">
        <v>1</v>
      </c>
      <c r="T80">
        <v>1</v>
      </c>
      <c r="U80">
        <v>0</v>
      </c>
      <c r="V80" t="s">
        <v>35</v>
      </c>
      <c r="W80">
        <v>0</v>
      </c>
      <c r="X80">
        <v>0.83333333333333304</v>
      </c>
      <c r="Y80">
        <v>1</v>
      </c>
      <c r="Z80">
        <v>1.6071428571428501</v>
      </c>
      <c r="AA80">
        <v>3</v>
      </c>
      <c r="AB80">
        <v>4</v>
      </c>
      <c r="AC80">
        <v>9.4749999999999996</v>
      </c>
    </row>
    <row r="81" spans="1:29" x14ac:dyDescent="0.35">
      <c r="A81" t="s">
        <v>160</v>
      </c>
      <c r="B81" t="s">
        <v>60</v>
      </c>
      <c r="C81" s="1">
        <v>45679</v>
      </c>
      <c r="D81" t="s">
        <v>78</v>
      </c>
      <c r="E81" s="2">
        <v>0.80208333333333337</v>
      </c>
      <c r="F81" t="s">
        <v>119</v>
      </c>
      <c r="G81">
        <v>85</v>
      </c>
      <c r="H81">
        <v>75</v>
      </c>
      <c r="I81">
        <v>12.5</v>
      </c>
      <c r="J81">
        <v>22</v>
      </c>
      <c r="K81" t="s">
        <v>51</v>
      </c>
      <c r="L81">
        <v>0</v>
      </c>
      <c r="M81" t="s">
        <v>34</v>
      </c>
      <c r="N81">
        <v>22</v>
      </c>
      <c r="O81">
        <v>21</v>
      </c>
      <c r="P81">
        <v>5.6</v>
      </c>
      <c r="Q81">
        <v>0</v>
      </c>
      <c r="R81">
        <v>19</v>
      </c>
      <c r="S81">
        <v>1</v>
      </c>
      <c r="T81">
        <v>2</v>
      </c>
      <c r="U81">
        <v>0</v>
      </c>
      <c r="V81" t="s">
        <v>41</v>
      </c>
      <c r="W81">
        <v>0</v>
      </c>
      <c r="X81">
        <v>0.95454545454545403</v>
      </c>
      <c r="Y81">
        <v>1</v>
      </c>
      <c r="Z81">
        <v>3.8636363636363602</v>
      </c>
      <c r="AA81">
        <v>6.8</v>
      </c>
      <c r="AB81">
        <v>10</v>
      </c>
      <c r="AC81">
        <v>3.4760869565217298</v>
      </c>
    </row>
    <row r="82" spans="1:29" x14ac:dyDescent="0.35">
      <c r="A82" t="s">
        <v>161</v>
      </c>
      <c r="B82" t="s">
        <v>60</v>
      </c>
      <c r="C82" s="1">
        <v>45672</v>
      </c>
      <c r="D82" t="s">
        <v>78</v>
      </c>
      <c r="E82" s="2">
        <v>0.75</v>
      </c>
      <c r="F82" t="s">
        <v>107</v>
      </c>
      <c r="G82">
        <v>81</v>
      </c>
      <c r="H82">
        <v>72</v>
      </c>
      <c r="I82">
        <v>12.5</v>
      </c>
      <c r="J82">
        <v>22</v>
      </c>
      <c r="K82" t="s">
        <v>51</v>
      </c>
      <c r="L82">
        <v>0</v>
      </c>
      <c r="M82" t="s">
        <v>34</v>
      </c>
      <c r="N82">
        <v>25</v>
      </c>
      <c r="O82">
        <v>24</v>
      </c>
      <c r="P82">
        <v>2.7</v>
      </c>
      <c r="Q82">
        <v>1</v>
      </c>
      <c r="R82">
        <v>18</v>
      </c>
      <c r="S82">
        <v>1</v>
      </c>
      <c r="T82">
        <v>2</v>
      </c>
      <c r="U82">
        <v>0</v>
      </c>
      <c r="V82" t="s">
        <v>41</v>
      </c>
      <c r="W82">
        <v>0</v>
      </c>
      <c r="X82">
        <v>0.96</v>
      </c>
      <c r="Y82">
        <v>0</v>
      </c>
      <c r="Z82">
        <v>3.6818181818181799</v>
      </c>
      <c r="AA82">
        <v>6.48</v>
      </c>
      <c r="AB82">
        <v>9</v>
      </c>
      <c r="AC82">
        <v>3.4760869565217298</v>
      </c>
    </row>
    <row r="83" spans="1:29" x14ac:dyDescent="0.35">
      <c r="A83" t="s">
        <v>162</v>
      </c>
      <c r="B83" t="s">
        <v>60</v>
      </c>
      <c r="C83" s="1">
        <v>45693</v>
      </c>
      <c r="D83" t="s">
        <v>78</v>
      </c>
      <c r="E83" s="2">
        <v>0.35416666666666669</v>
      </c>
      <c r="F83" t="s">
        <v>110</v>
      </c>
      <c r="G83">
        <v>88</v>
      </c>
      <c r="H83">
        <v>84</v>
      </c>
      <c r="I83">
        <v>12.5</v>
      </c>
      <c r="J83">
        <v>22</v>
      </c>
      <c r="K83" t="s">
        <v>51</v>
      </c>
      <c r="L83">
        <v>0</v>
      </c>
      <c r="M83" t="s">
        <v>34</v>
      </c>
      <c r="N83">
        <v>28</v>
      </c>
      <c r="O83">
        <v>28</v>
      </c>
      <c r="P83">
        <v>1.1000000000000001</v>
      </c>
      <c r="Q83">
        <v>0</v>
      </c>
      <c r="R83">
        <v>8</v>
      </c>
      <c r="S83">
        <v>2</v>
      </c>
      <c r="T83">
        <v>2</v>
      </c>
      <c r="U83">
        <v>0</v>
      </c>
      <c r="V83" t="s">
        <v>47</v>
      </c>
      <c r="W83">
        <v>0</v>
      </c>
      <c r="X83">
        <v>1</v>
      </c>
      <c r="Y83">
        <v>0</v>
      </c>
      <c r="Z83">
        <v>4</v>
      </c>
      <c r="AA83">
        <v>7.04</v>
      </c>
      <c r="AB83">
        <v>4</v>
      </c>
      <c r="AC83">
        <v>3.4760869565217298</v>
      </c>
    </row>
    <row r="84" spans="1:29" x14ac:dyDescent="0.35">
      <c r="A84" t="s">
        <v>163</v>
      </c>
      <c r="B84" t="s">
        <v>43</v>
      </c>
      <c r="C84" s="1">
        <v>45716</v>
      </c>
      <c r="D84" t="s">
        <v>38</v>
      </c>
      <c r="E84" s="2">
        <v>0.29166666666666669</v>
      </c>
      <c r="F84" t="s">
        <v>58</v>
      </c>
      <c r="G84">
        <v>122</v>
      </c>
      <c r="H84">
        <v>106</v>
      </c>
      <c r="I84">
        <v>18.399999999999999</v>
      </c>
      <c r="J84">
        <v>32</v>
      </c>
      <c r="K84" t="s">
        <v>46</v>
      </c>
      <c r="L84">
        <v>0</v>
      </c>
      <c r="M84" t="s">
        <v>34</v>
      </c>
      <c r="N84">
        <v>23</v>
      </c>
      <c r="O84">
        <v>20</v>
      </c>
      <c r="P84">
        <v>11</v>
      </c>
      <c r="Q84">
        <v>0</v>
      </c>
      <c r="R84">
        <v>7</v>
      </c>
      <c r="S84">
        <v>2</v>
      </c>
      <c r="T84">
        <v>4</v>
      </c>
      <c r="U84">
        <v>0</v>
      </c>
      <c r="V84" t="s">
        <v>47</v>
      </c>
      <c r="W84">
        <v>0</v>
      </c>
      <c r="X84">
        <v>0.86956521739130399</v>
      </c>
      <c r="Y84">
        <v>1</v>
      </c>
      <c r="Z84">
        <v>3.8125</v>
      </c>
      <c r="AA84">
        <v>6.63043478260869</v>
      </c>
      <c r="AB84">
        <v>16</v>
      </c>
      <c r="AC84">
        <v>8.6013888888888896</v>
      </c>
    </row>
    <row r="85" spans="1:29" x14ac:dyDescent="0.35">
      <c r="A85" t="s">
        <v>164</v>
      </c>
      <c r="B85" t="s">
        <v>57</v>
      </c>
      <c r="C85" s="1">
        <v>45679</v>
      </c>
      <c r="D85" t="s">
        <v>78</v>
      </c>
      <c r="E85" s="2">
        <v>0.73958333333333337</v>
      </c>
      <c r="F85" t="s">
        <v>125</v>
      </c>
      <c r="G85">
        <v>101</v>
      </c>
      <c r="H85">
        <v>91</v>
      </c>
      <c r="I85">
        <v>14.2</v>
      </c>
      <c r="J85">
        <v>25</v>
      </c>
      <c r="K85" t="s">
        <v>46</v>
      </c>
      <c r="L85">
        <v>0</v>
      </c>
      <c r="M85" t="s">
        <v>34</v>
      </c>
      <c r="N85">
        <v>35</v>
      </c>
      <c r="O85">
        <v>31</v>
      </c>
      <c r="P85">
        <v>9.8000000000000007</v>
      </c>
      <c r="Q85">
        <v>0</v>
      </c>
      <c r="R85">
        <v>17</v>
      </c>
      <c r="S85">
        <v>1</v>
      </c>
      <c r="T85">
        <v>2</v>
      </c>
      <c r="U85">
        <v>0</v>
      </c>
      <c r="V85" t="s">
        <v>41</v>
      </c>
      <c r="W85">
        <v>0</v>
      </c>
      <c r="X85">
        <v>0.88571428571428501</v>
      </c>
      <c r="Y85">
        <v>1</v>
      </c>
      <c r="Z85">
        <v>4.04</v>
      </c>
      <c r="AA85">
        <v>7.11267605633802</v>
      </c>
      <c r="AB85">
        <v>10</v>
      </c>
      <c r="AC85">
        <v>8.3255319148936096</v>
      </c>
    </row>
    <row r="86" spans="1:29" x14ac:dyDescent="0.35">
      <c r="A86" t="s">
        <v>165</v>
      </c>
      <c r="B86" t="s">
        <v>102</v>
      </c>
      <c r="C86" s="1">
        <v>45693</v>
      </c>
      <c r="D86" t="s">
        <v>78</v>
      </c>
      <c r="E86" s="2">
        <v>0.63541666666666663</v>
      </c>
      <c r="F86" t="s">
        <v>55</v>
      </c>
      <c r="G86">
        <v>35</v>
      </c>
      <c r="H86">
        <v>33</v>
      </c>
      <c r="I86">
        <v>7.3</v>
      </c>
      <c r="J86">
        <v>13</v>
      </c>
      <c r="K86" t="s">
        <v>66</v>
      </c>
      <c r="L86">
        <v>0</v>
      </c>
      <c r="M86" t="s">
        <v>34</v>
      </c>
      <c r="N86">
        <v>27</v>
      </c>
      <c r="O86">
        <v>27</v>
      </c>
      <c r="P86">
        <v>1.6</v>
      </c>
      <c r="Q86">
        <v>0</v>
      </c>
      <c r="R86">
        <v>15</v>
      </c>
      <c r="S86">
        <v>2</v>
      </c>
      <c r="T86">
        <v>2</v>
      </c>
      <c r="U86">
        <v>0</v>
      </c>
      <c r="V86" t="s">
        <v>35</v>
      </c>
      <c r="W86">
        <v>0</v>
      </c>
      <c r="X86">
        <v>1</v>
      </c>
      <c r="Y86">
        <v>0</v>
      </c>
      <c r="Z86">
        <v>2.6923076923076898</v>
      </c>
      <c r="AA86">
        <v>4.7945205479451998</v>
      </c>
      <c r="AB86">
        <v>2</v>
      </c>
      <c r="AC86">
        <v>4.0518518518518496</v>
      </c>
    </row>
    <row r="87" spans="1:29" x14ac:dyDescent="0.35">
      <c r="A87" t="s">
        <v>166</v>
      </c>
      <c r="B87" t="s">
        <v>60</v>
      </c>
      <c r="C87" s="1">
        <v>45695</v>
      </c>
      <c r="D87" t="s">
        <v>38</v>
      </c>
      <c r="E87" s="2">
        <v>0.77083333333333337</v>
      </c>
      <c r="F87" t="s">
        <v>55</v>
      </c>
      <c r="G87">
        <v>122.625</v>
      </c>
      <c r="H87">
        <v>89</v>
      </c>
      <c r="I87">
        <v>12.5</v>
      </c>
      <c r="J87">
        <v>22</v>
      </c>
      <c r="K87" t="s">
        <v>51</v>
      </c>
      <c r="L87">
        <v>0</v>
      </c>
      <c r="M87" t="s">
        <v>34</v>
      </c>
      <c r="N87">
        <v>37</v>
      </c>
      <c r="O87">
        <v>35</v>
      </c>
      <c r="P87">
        <v>2.4</v>
      </c>
      <c r="Q87">
        <v>0</v>
      </c>
      <c r="R87">
        <v>18</v>
      </c>
      <c r="S87">
        <v>2</v>
      </c>
      <c r="T87">
        <v>4</v>
      </c>
      <c r="U87">
        <v>0</v>
      </c>
      <c r="V87" t="s">
        <v>41</v>
      </c>
      <c r="W87">
        <v>0</v>
      </c>
      <c r="X87">
        <v>0.94594594594594505</v>
      </c>
      <c r="Y87">
        <v>0</v>
      </c>
      <c r="Z87">
        <v>5.5738636363636296</v>
      </c>
      <c r="AA87">
        <v>9.81</v>
      </c>
      <c r="AB87">
        <v>33.625</v>
      </c>
      <c r="AC87">
        <v>3.4760869565217298</v>
      </c>
    </row>
    <row r="88" spans="1:29" x14ac:dyDescent="0.35">
      <c r="A88" t="s">
        <v>167</v>
      </c>
      <c r="B88" t="s">
        <v>37</v>
      </c>
      <c r="C88" s="1">
        <v>45697</v>
      </c>
      <c r="D88" t="s">
        <v>31</v>
      </c>
      <c r="E88" s="2">
        <v>0.67708333333333337</v>
      </c>
      <c r="F88" t="s">
        <v>97</v>
      </c>
      <c r="G88">
        <v>30</v>
      </c>
      <c r="H88">
        <v>29</v>
      </c>
      <c r="I88">
        <v>9.5</v>
      </c>
      <c r="J88">
        <v>17</v>
      </c>
      <c r="K88" t="s">
        <v>40</v>
      </c>
      <c r="L88">
        <v>0</v>
      </c>
      <c r="M88" t="s">
        <v>34</v>
      </c>
      <c r="N88">
        <v>31</v>
      </c>
      <c r="O88">
        <v>30</v>
      </c>
      <c r="P88">
        <v>4.5999999999999996</v>
      </c>
      <c r="Q88">
        <v>0</v>
      </c>
      <c r="R88">
        <v>16</v>
      </c>
      <c r="S88">
        <v>2</v>
      </c>
      <c r="T88">
        <v>6</v>
      </c>
      <c r="U88">
        <v>1</v>
      </c>
      <c r="V88" t="s">
        <v>35</v>
      </c>
      <c r="W88">
        <v>0</v>
      </c>
      <c r="X88">
        <v>0.967741935483871</v>
      </c>
      <c r="Y88">
        <v>0</v>
      </c>
      <c r="Z88">
        <v>1.76470588235294</v>
      </c>
      <c r="AA88">
        <v>3.1578947368421</v>
      </c>
      <c r="AB88">
        <v>1</v>
      </c>
      <c r="AC88">
        <v>3.8470588235294101</v>
      </c>
    </row>
    <row r="89" spans="1:29" x14ac:dyDescent="0.35">
      <c r="A89" t="s">
        <v>168</v>
      </c>
      <c r="B89" t="s">
        <v>72</v>
      </c>
      <c r="C89" s="1">
        <v>45660</v>
      </c>
      <c r="D89" t="s">
        <v>38</v>
      </c>
      <c r="E89" s="2">
        <v>0.30208333333333331</v>
      </c>
      <c r="F89" t="s">
        <v>63</v>
      </c>
      <c r="G89">
        <v>95</v>
      </c>
      <c r="H89">
        <v>88</v>
      </c>
      <c r="I89">
        <v>11.6</v>
      </c>
      <c r="J89">
        <v>21</v>
      </c>
      <c r="K89" t="s">
        <v>33</v>
      </c>
      <c r="L89">
        <v>0</v>
      </c>
      <c r="M89" t="s">
        <v>34</v>
      </c>
      <c r="N89">
        <v>35</v>
      </c>
      <c r="O89">
        <v>34</v>
      </c>
      <c r="P89">
        <v>4.5999999999999996</v>
      </c>
      <c r="Q89">
        <v>0</v>
      </c>
      <c r="R89">
        <v>7</v>
      </c>
      <c r="S89">
        <v>1</v>
      </c>
      <c r="T89">
        <v>4</v>
      </c>
      <c r="U89">
        <v>0</v>
      </c>
      <c r="V89" t="s">
        <v>47</v>
      </c>
      <c r="W89">
        <v>0</v>
      </c>
      <c r="X89">
        <v>0.97142857142857097</v>
      </c>
      <c r="Y89">
        <v>0</v>
      </c>
      <c r="Z89">
        <v>4.5238095238095202</v>
      </c>
      <c r="AA89">
        <v>8.18965517241379</v>
      </c>
      <c r="AB89">
        <v>7</v>
      </c>
      <c r="AC89">
        <v>2.80217391304347</v>
      </c>
    </row>
    <row r="90" spans="1:29" x14ac:dyDescent="0.35">
      <c r="A90" t="s">
        <v>169</v>
      </c>
      <c r="B90" t="s">
        <v>37</v>
      </c>
      <c r="C90" s="1">
        <v>45663</v>
      </c>
      <c r="D90" t="s">
        <v>87</v>
      </c>
      <c r="E90" s="2">
        <v>0.64583333333333337</v>
      </c>
      <c r="F90" t="s">
        <v>45</v>
      </c>
      <c r="G90">
        <v>35</v>
      </c>
      <c r="H90">
        <v>31</v>
      </c>
      <c r="I90">
        <v>9.5</v>
      </c>
      <c r="J90">
        <v>17</v>
      </c>
      <c r="K90" t="s">
        <v>40</v>
      </c>
      <c r="L90">
        <v>0</v>
      </c>
      <c r="M90" t="s">
        <v>34</v>
      </c>
      <c r="N90">
        <v>27</v>
      </c>
      <c r="O90">
        <v>26</v>
      </c>
      <c r="P90">
        <v>0.1</v>
      </c>
      <c r="Q90">
        <v>0</v>
      </c>
      <c r="R90">
        <v>15</v>
      </c>
      <c r="S90">
        <v>1</v>
      </c>
      <c r="T90">
        <v>0</v>
      </c>
      <c r="U90">
        <v>0</v>
      </c>
      <c r="V90" t="s">
        <v>35</v>
      </c>
      <c r="W90">
        <v>0</v>
      </c>
      <c r="X90">
        <v>0.96296296296296202</v>
      </c>
      <c r="Y90">
        <v>0</v>
      </c>
      <c r="Z90">
        <v>2.0588235294117601</v>
      </c>
      <c r="AA90">
        <v>3.6842105263157801</v>
      </c>
      <c r="AB90">
        <v>4</v>
      </c>
      <c r="AC90">
        <v>3.8470588235294101</v>
      </c>
    </row>
    <row r="91" spans="1:29" x14ac:dyDescent="0.35">
      <c r="A91" t="s">
        <v>170</v>
      </c>
      <c r="B91" t="s">
        <v>72</v>
      </c>
      <c r="C91" s="1">
        <v>45674</v>
      </c>
      <c r="D91" t="s">
        <v>38</v>
      </c>
      <c r="E91" s="2">
        <v>0.39583333333333331</v>
      </c>
      <c r="F91" t="s">
        <v>73</v>
      </c>
      <c r="G91">
        <v>122.625</v>
      </c>
      <c r="H91">
        <v>91</v>
      </c>
      <c r="I91">
        <v>11.6</v>
      </c>
      <c r="J91">
        <v>21</v>
      </c>
      <c r="K91" t="s">
        <v>33</v>
      </c>
      <c r="L91">
        <v>0</v>
      </c>
      <c r="M91" t="s">
        <v>34</v>
      </c>
      <c r="N91">
        <v>37</v>
      </c>
      <c r="O91">
        <v>37</v>
      </c>
      <c r="P91">
        <v>3.1</v>
      </c>
      <c r="Q91">
        <v>0</v>
      </c>
      <c r="R91">
        <v>9</v>
      </c>
      <c r="S91">
        <v>1</v>
      </c>
      <c r="T91">
        <v>4</v>
      </c>
      <c r="U91">
        <v>0</v>
      </c>
      <c r="V91" t="s">
        <v>47</v>
      </c>
      <c r="W91">
        <v>0</v>
      </c>
      <c r="X91">
        <v>1</v>
      </c>
      <c r="Y91">
        <v>0</v>
      </c>
      <c r="Z91">
        <v>5.83928571428571</v>
      </c>
      <c r="AA91">
        <v>10.5711206896551</v>
      </c>
      <c r="AB91">
        <v>31.625</v>
      </c>
      <c r="AC91">
        <v>2.80217391304347</v>
      </c>
    </row>
    <row r="92" spans="1:29" x14ac:dyDescent="0.35">
      <c r="A92" t="s">
        <v>171</v>
      </c>
      <c r="B92" t="s">
        <v>49</v>
      </c>
      <c r="C92" s="1">
        <v>45675</v>
      </c>
      <c r="D92" t="s">
        <v>50</v>
      </c>
      <c r="E92" s="2">
        <v>0.6875</v>
      </c>
      <c r="F92" t="s">
        <v>110</v>
      </c>
      <c r="G92">
        <v>34</v>
      </c>
      <c r="H92">
        <v>31</v>
      </c>
      <c r="I92">
        <v>8.1999999999999993</v>
      </c>
      <c r="J92">
        <v>15</v>
      </c>
      <c r="K92" t="s">
        <v>51</v>
      </c>
      <c r="L92">
        <v>0</v>
      </c>
      <c r="M92" t="s">
        <v>148</v>
      </c>
      <c r="N92">
        <v>26</v>
      </c>
      <c r="O92">
        <v>26</v>
      </c>
      <c r="P92">
        <v>8.3000000000000007</v>
      </c>
      <c r="Q92">
        <v>0</v>
      </c>
      <c r="R92">
        <v>16</v>
      </c>
      <c r="S92">
        <v>1</v>
      </c>
      <c r="T92">
        <v>5</v>
      </c>
      <c r="U92">
        <v>1</v>
      </c>
      <c r="V92" t="s">
        <v>35</v>
      </c>
      <c r="W92">
        <v>1</v>
      </c>
      <c r="X92">
        <v>1</v>
      </c>
      <c r="Y92">
        <v>1</v>
      </c>
      <c r="Z92">
        <v>2.2666666666666599</v>
      </c>
      <c r="AA92">
        <v>4.1463414634146298</v>
      </c>
      <c r="AB92">
        <v>3</v>
      </c>
      <c r="AC92">
        <v>3.6937500000000001</v>
      </c>
    </row>
    <row r="93" spans="1:29" x14ac:dyDescent="0.35">
      <c r="A93" t="s">
        <v>172</v>
      </c>
      <c r="B93" t="s">
        <v>43</v>
      </c>
      <c r="C93" s="1">
        <v>45672</v>
      </c>
      <c r="D93" t="s">
        <v>78</v>
      </c>
      <c r="E93" s="2">
        <v>0.66666666666666663</v>
      </c>
      <c r="F93" t="s">
        <v>100</v>
      </c>
      <c r="G93">
        <v>57</v>
      </c>
      <c r="H93">
        <v>57</v>
      </c>
      <c r="I93">
        <v>18.399999999999999</v>
      </c>
      <c r="J93">
        <v>32</v>
      </c>
      <c r="K93" t="s">
        <v>46</v>
      </c>
      <c r="L93">
        <v>0</v>
      </c>
      <c r="M93" t="s">
        <v>34</v>
      </c>
      <c r="N93">
        <v>30</v>
      </c>
      <c r="O93">
        <v>26</v>
      </c>
      <c r="P93">
        <v>5.7</v>
      </c>
      <c r="Q93">
        <v>0</v>
      </c>
      <c r="R93">
        <v>16</v>
      </c>
      <c r="S93">
        <v>1</v>
      </c>
      <c r="T93">
        <v>2</v>
      </c>
      <c r="U93">
        <v>0</v>
      </c>
      <c r="V93" t="s">
        <v>35</v>
      </c>
      <c r="W93">
        <v>0</v>
      </c>
      <c r="X93">
        <v>0.86666666666666603</v>
      </c>
      <c r="Y93">
        <v>1</v>
      </c>
      <c r="Z93">
        <v>1.78125</v>
      </c>
      <c r="AA93">
        <v>3.0978260869565202</v>
      </c>
      <c r="AB93">
        <v>0</v>
      </c>
      <c r="AC93">
        <v>8.6013888888888896</v>
      </c>
    </row>
    <row r="94" spans="1:29" x14ac:dyDescent="0.35">
      <c r="A94" t="s">
        <v>173</v>
      </c>
      <c r="B94" t="s">
        <v>43</v>
      </c>
      <c r="C94" s="1">
        <v>45694</v>
      </c>
      <c r="D94" t="s">
        <v>54</v>
      </c>
      <c r="E94" s="2">
        <v>0.625</v>
      </c>
      <c r="F94" t="s">
        <v>55</v>
      </c>
      <c r="G94">
        <v>63</v>
      </c>
      <c r="H94">
        <v>54</v>
      </c>
      <c r="I94">
        <v>18.399999999999999</v>
      </c>
      <c r="J94">
        <v>32</v>
      </c>
      <c r="K94" t="s">
        <v>46</v>
      </c>
      <c r="L94">
        <v>0</v>
      </c>
      <c r="M94" t="s">
        <v>34</v>
      </c>
      <c r="N94">
        <v>23</v>
      </c>
      <c r="O94">
        <v>21</v>
      </c>
      <c r="P94">
        <v>9.1999999999999993</v>
      </c>
      <c r="Q94">
        <v>0</v>
      </c>
      <c r="R94">
        <v>15</v>
      </c>
      <c r="S94">
        <v>2</v>
      </c>
      <c r="T94">
        <v>3</v>
      </c>
      <c r="U94">
        <v>0</v>
      </c>
      <c r="V94" t="s">
        <v>35</v>
      </c>
      <c r="W94">
        <v>0</v>
      </c>
      <c r="X94">
        <v>0.91304347826086896</v>
      </c>
      <c r="Y94">
        <v>1</v>
      </c>
      <c r="Z94">
        <v>1.96875</v>
      </c>
      <c r="AA94">
        <v>3.4239130434782599</v>
      </c>
      <c r="AB94">
        <v>9</v>
      </c>
      <c r="AC94">
        <v>8.6013888888888896</v>
      </c>
    </row>
    <row r="95" spans="1:29" x14ac:dyDescent="0.35">
      <c r="A95" t="s">
        <v>174</v>
      </c>
      <c r="B95" t="s">
        <v>30</v>
      </c>
      <c r="C95" s="1">
        <v>45708</v>
      </c>
      <c r="D95" t="s">
        <v>54</v>
      </c>
      <c r="E95" s="2">
        <v>0.55208333333333337</v>
      </c>
      <c r="F95" t="s">
        <v>100</v>
      </c>
      <c r="G95">
        <v>31</v>
      </c>
      <c r="H95">
        <v>31</v>
      </c>
      <c r="I95">
        <v>10.1</v>
      </c>
      <c r="J95">
        <v>19</v>
      </c>
      <c r="K95" t="s">
        <v>33</v>
      </c>
      <c r="L95">
        <v>0</v>
      </c>
      <c r="M95" t="s">
        <v>34</v>
      </c>
      <c r="N95">
        <v>18</v>
      </c>
      <c r="O95">
        <v>17</v>
      </c>
      <c r="P95">
        <v>3.6</v>
      </c>
      <c r="Q95">
        <v>0</v>
      </c>
      <c r="R95">
        <v>13</v>
      </c>
      <c r="S95">
        <v>2</v>
      </c>
      <c r="T95">
        <v>3</v>
      </c>
      <c r="U95">
        <v>0</v>
      </c>
      <c r="V95" t="s">
        <v>35</v>
      </c>
      <c r="W95">
        <v>0</v>
      </c>
      <c r="X95">
        <v>0.94444444444444398</v>
      </c>
      <c r="Y95">
        <v>0</v>
      </c>
      <c r="Z95">
        <v>1.6315789473684199</v>
      </c>
      <c r="AA95">
        <v>3.06930693069306</v>
      </c>
      <c r="AB95">
        <v>0</v>
      </c>
      <c r="AC95">
        <v>3.6613636363636299</v>
      </c>
    </row>
    <row r="96" spans="1:29" x14ac:dyDescent="0.35">
      <c r="A96" t="s">
        <v>175</v>
      </c>
      <c r="B96" t="s">
        <v>43</v>
      </c>
      <c r="C96" s="1">
        <v>45683</v>
      </c>
      <c r="D96" t="s">
        <v>31</v>
      </c>
      <c r="E96" s="2">
        <v>0.60416666666666663</v>
      </c>
      <c r="F96" t="s">
        <v>82</v>
      </c>
      <c r="G96">
        <v>46</v>
      </c>
      <c r="H96">
        <v>44</v>
      </c>
      <c r="I96">
        <v>18.399999999999999</v>
      </c>
      <c r="J96">
        <v>32</v>
      </c>
      <c r="K96" t="s">
        <v>46</v>
      </c>
      <c r="L96">
        <v>1</v>
      </c>
      <c r="M96" t="s">
        <v>34</v>
      </c>
      <c r="N96">
        <v>38</v>
      </c>
      <c r="O96">
        <v>31</v>
      </c>
      <c r="P96">
        <v>7.4</v>
      </c>
      <c r="Q96">
        <v>0</v>
      </c>
      <c r="R96">
        <v>14</v>
      </c>
      <c r="S96">
        <v>1</v>
      </c>
      <c r="T96">
        <v>6</v>
      </c>
      <c r="U96">
        <v>1</v>
      </c>
      <c r="V96" t="s">
        <v>35</v>
      </c>
      <c r="W96">
        <v>0</v>
      </c>
      <c r="X96">
        <v>0.81578947368420995</v>
      </c>
      <c r="Y96">
        <v>1</v>
      </c>
      <c r="Z96">
        <v>1.4375</v>
      </c>
      <c r="AA96">
        <v>2.5</v>
      </c>
      <c r="AB96">
        <v>2</v>
      </c>
      <c r="AC96">
        <v>8.6013888888888896</v>
      </c>
    </row>
    <row r="97" spans="1:29" x14ac:dyDescent="0.35">
      <c r="A97" t="s">
        <v>176</v>
      </c>
      <c r="B97" t="s">
        <v>102</v>
      </c>
      <c r="C97" s="1">
        <v>45658</v>
      </c>
      <c r="D97" t="s">
        <v>78</v>
      </c>
      <c r="E97" s="2">
        <v>0.75</v>
      </c>
      <c r="F97" t="s">
        <v>110</v>
      </c>
      <c r="G97">
        <v>73</v>
      </c>
      <c r="H97">
        <v>68</v>
      </c>
      <c r="I97">
        <v>7.3</v>
      </c>
      <c r="J97">
        <v>13</v>
      </c>
      <c r="K97" t="s">
        <v>66</v>
      </c>
      <c r="L97">
        <v>1</v>
      </c>
      <c r="M97" t="s">
        <v>34</v>
      </c>
      <c r="N97">
        <v>30</v>
      </c>
      <c r="O97">
        <v>29</v>
      </c>
      <c r="P97">
        <v>2.2999999999999998</v>
      </c>
      <c r="Q97">
        <v>0</v>
      </c>
      <c r="R97">
        <v>18</v>
      </c>
      <c r="S97">
        <v>1</v>
      </c>
      <c r="T97">
        <v>2</v>
      </c>
      <c r="U97">
        <v>0</v>
      </c>
      <c r="V97" t="s">
        <v>41</v>
      </c>
      <c r="W97">
        <v>0</v>
      </c>
      <c r="X97">
        <v>0.96666666666666601</v>
      </c>
      <c r="Y97">
        <v>0</v>
      </c>
      <c r="Z97">
        <v>5.6153846153846096</v>
      </c>
      <c r="AA97">
        <v>10</v>
      </c>
      <c r="AB97">
        <v>5</v>
      </c>
      <c r="AC97">
        <v>4.0518518518518496</v>
      </c>
    </row>
    <row r="98" spans="1:29" x14ac:dyDescent="0.35">
      <c r="A98" t="s">
        <v>177</v>
      </c>
      <c r="B98" t="s">
        <v>57</v>
      </c>
      <c r="C98" s="1">
        <v>45692</v>
      </c>
      <c r="D98" t="s">
        <v>44</v>
      </c>
      <c r="E98" s="2">
        <v>0.64583333333333337</v>
      </c>
      <c r="F98" t="s">
        <v>82</v>
      </c>
      <c r="G98">
        <v>40</v>
      </c>
      <c r="H98">
        <v>36</v>
      </c>
      <c r="I98">
        <v>14.2</v>
      </c>
      <c r="J98">
        <v>25</v>
      </c>
      <c r="K98" t="s">
        <v>46</v>
      </c>
      <c r="L98">
        <v>0</v>
      </c>
      <c r="M98" t="s">
        <v>34</v>
      </c>
      <c r="N98">
        <v>19</v>
      </c>
      <c r="O98">
        <v>16</v>
      </c>
      <c r="P98">
        <v>2</v>
      </c>
      <c r="Q98">
        <v>0</v>
      </c>
      <c r="R98">
        <v>15</v>
      </c>
      <c r="S98">
        <v>2</v>
      </c>
      <c r="T98">
        <v>1</v>
      </c>
      <c r="U98">
        <v>0</v>
      </c>
      <c r="V98" t="s">
        <v>35</v>
      </c>
      <c r="W98">
        <v>0</v>
      </c>
      <c r="X98">
        <v>0.84210526315789402</v>
      </c>
      <c r="Y98">
        <v>0</v>
      </c>
      <c r="Z98">
        <v>1.6</v>
      </c>
      <c r="AA98">
        <v>2.8169014084507</v>
      </c>
      <c r="AB98">
        <v>4</v>
      </c>
      <c r="AC98">
        <v>8.3255319148936096</v>
      </c>
    </row>
    <row r="99" spans="1:29" x14ac:dyDescent="0.35">
      <c r="A99" t="s">
        <v>178</v>
      </c>
      <c r="B99" t="s">
        <v>60</v>
      </c>
      <c r="C99" s="1">
        <v>45701</v>
      </c>
      <c r="D99" t="s">
        <v>54</v>
      </c>
      <c r="E99" s="2">
        <v>0.55208333333333337</v>
      </c>
      <c r="F99" t="s">
        <v>55</v>
      </c>
      <c r="G99">
        <v>49</v>
      </c>
      <c r="H99">
        <v>42</v>
      </c>
      <c r="I99">
        <v>12.5</v>
      </c>
      <c r="J99">
        <v>22</v>
      </c>
      <c r="K99" t="s">
        <v>51</v>
      </c>
      <c r="L99">
        <v>0</v>
      </c>
      <c r="M99" t="s">
        <v>34</v>
      </c>
      <c r="N99">
        <v>32</v>
      </c>
      <c r="O99">
        <v>32</v>
      </c>
      <c r="P99">
        <v>9.5</v>
      </c>
      <c r="Q99">
        <v>0</v>
      </c>
      <c r="R99">
        <v>13</v>
      </c>
      <c r="S99">
        <v>2</v>
      </c>
      <c r="T99">
        <v>3</v>
      </c>
      <c r="U99">
        <v>0</v>
      </c>
      <c r="V99" t="s">
        <v>35</v>
      </c>
      <c r="W99">
        <v>0</v>
      </c>
      <c r="X99">
        <v>1</v>
      </c>
      <c r="Y99">
        <v>1</v>
      </c>
      <c r="Z99">
        <v>2.22727272727272</v>
      </c>
      <c r="AA99">
        <v>3.92</v>
      </c>
      <c r="AB99">
        <v>7</v>
      </c>
      <c r="AC99">
        <v>3.4760869565217298</v>
      </c>
    </row>
    <row r="100" spans="1:29" x14ac:dyDescent="0.35">
      <c r="A100" t="s">
        <v>179</v>
      </c>
      <c r="B100" t="s">
        <v>43</v>
      </c>
      <c r="C100" s="1">
        <v>45678</v>
      </c>
      <c r="D100" t="s">
        <v>44</v>
      </c>
      <c r="E100" s="2">
        <v>0.6875</v>
      </c>
      <c r="F100" t="s">
        <v>45</v>
      </c>
      <c r="G100">
        <v>51</v>
      </c>
      <c r="H100">
        <v>50</v>
      </c>
      <c r="I100">
        <v>18.399999999999999</v>
      </c>
      <c r="J100">
        <v>32</v>
      </c>
      <c r="K100" t="s">
        <v>46</v>
      </c>
      <c r="L100">
        <v>0</v>
      </c>
      <c r="M100" t="s">
        <v>34</v>
      </c>
      <c r="N100">
        <v>29</v>
      </c>
      <c r="O100">
        <v>24</v>
      </c>
      <c r="P100">
        <v>3.8</v>
      </c>
      <c r="Q100">
        <v>0</v>
      </c>
      <c r="R100">
        <v>16</v>
      </c>
      <c r="S100">
        <v>1</v>
      </c>
      <c r="T100">
        <v>1</v>
      </c>
      <c r="U100">
        <v>0</v>
      </c>
      <c r="V100" t="s">
        <v>35</v>
      </c>
      <c r="W100">
        <v>0</v>
      </c>
      <c r="X100">
        <v>0.82758620689655105</v>
      </c>
      <c r="Y100">
        <v>0</v>
      </c>
      <c r="Z100">
        <v>1.59375</v>
      </c>
      <c r="AA100">
        <v>2.77173913043478</v>
      </c>
      <c r="AB100">
        <v>1</v>
      </c>
      <c r="AC100">
        <v>8.6013888888888896</v>
      </c>
    </row>
    <row r="101" spans="1:29" x14ac:dyDescent="0.35">
      <c r="A101" t="s">
        <v>180</v>
      </c>
      <c r="B101" t="s">
        <v>102</v>
      </c>
      <c r="C101" s="1">
        <v>45677</v>
      </c>
      <c r="D101" t="s">
        <v>87</v>
      </c>
      <c r="E101" s="2">
        <v>0.875</v>
      </c>
      <c r="F101" t="s">
        <v>110</v>
      </c>
      <c r="G101">
        <v>31</v>
      </c>
      <c r="H101">
        <v>27</v>
      </c>
      <c r="I101">
        <v>7.3</v>
      </c>
      <c r="J101">
        <v>13</v>
      </c>
      <c r="K101" t="s">
        <v>66</v>
      </c>
      <c r="L101">
        <v>0</v>
      </c>
      <c r="M101" t="s">
        <v>34</v>
      </c>
      <c r="N101">
        <v>39</v>
      </c>
      <c r="O101">
        <v>39</v>
      </c>
      <c r="P101">
        <v>7.9</v>
      </c>
      <c r="Q101">
        <v>0</v>
      </c>
      <c r="R101">
        <v>21</v>
      </c>
      <c r="S101">
        <v>1</v>
      </c>
      <c r="T101">
        <v>0</v>
      </c>
      <c r="U101">
        <v>0</v>
      </c>
      <c r="V101" t="s">
        <v>35</v>
      </c>
      <c r="W101">
        <v>0</v>
      </c>
      <c r="X101">
        <v>1</v>
      </c>
      <c r="Y101">
        <v>1</v>
      </c>
      <c r="Z101">
        <v>2.3846153846153801</v>
      </c>
      <c r="AA101">
        <v>4.24657534246575</v>
      </c>
      <c r="AB101">
        <v>4</v>
      </c>
      <c r="AC101">
        <v>4.0518518518518496</v>
      </c>
    </row>
    <row r="102" spans="1:29" x14ac:dyDescent="0.35">
      <c r="A102" t="s">
        <v>181</v>
      </c>
      <c r="B102" t="s">
        <v>72</v>
      </c>
      <c r="C102" s="1">
        <v>45699</v>
      </c>
      <c r="D102" t="s">
        <v>44</v>
      </c>
      <c r="E102" s="2">
        <v>0.51041666666666663</v>
      </c>
      <c r="F102" t="s">
        <v>89</v>
      </c>
      <c r="G102">
        <v>47</v>
      </c>
      <c r="H102">
        <v>43</v>
      </c>
      <c r="I102">
        <v>11.6</v>
      </c>
      <c r="J102">
        <v>21</v>
      </c>
      <c r="K102" t="s">
        <v>33</v>
      </c>
      <c r="L102">
        <v>0</v>
      </c>
      <c r="M102" t="s">
        <v>34</v>
      </c>
      <c r="N102">
        <v>18</v>
      </c>
      <c r="O102">
        <v>17</v>
      </c>
      <c r="P102">
        <v>2.9</v>
      </c>
      <c r="Q102">
        <v>0</v>
      </c>
      <c r="R102">
        <v>12</v>
      </c>
      <c r="S102">
        <v>2</v>
      </c>
      <c r="T102">
        <v>1</v>
      </c>
      <c r="U102">
        <v>0</v>
      </c>
      <c r="V102" t="s">
        <v>35</v>
      </c>
      <c r="W102">
        <v>0</v>
      </c>
      <c r="X102">
        <v>0.94444444444444398</v>
      </c>
      <c r="Y102">
        <v>0</v>
      </c>
      <c r="Z102">
        <v>2.2380952380952301</v>
      </c>
      <c r="AA102">
        <v>4.0517241379310303</v>
      </c>
      <c r="AB102">
        <v>4</v>
      </c>
      <c r="AC102">
        <v>2.80217391304347</v>
      </c>
    </row>
    <row r="103" spans="1:29" x14ac:dyDescent="0.35">
      <c r="A103" t="s">
        <v>182</v>
      </c>
      <c r="B103" t="s">
        <v>60</v>
      </c>
      <c r="C103" s="1">
        <v>45678</v>
      </c>
      <c r="D103" t="s">
        <v>44</v>
      </c>
      <c r="E103" s="2">
        <v>0.29166666666666669</v>
      </c>
      <c r="F103" t="s">
        <v>110</v>
      </c>
      <c r="G103">
        <v>73</v>
      </c>
      <c r="H103">
        <v>71</v>
      </c>
      <c r="I103">
        <v>12.5</v>
      </c>
      <c r="J103">
        <v>22</v>
      </c>
      <c r="K103" t="s">
        <v>51</v>
      </c>
      <c r="L103">
        <v>0</v>
      </c>
      <c r="M103" t="s">
        <v>34</v>
      </c>
      <c r="N103">
        <v>30</v>
      </c>
      <c r="O103">
        <v>28</v>
      </c>
      <c r="P103">
        <v>1.8</v>
      </c>
      <c r="Q103">
        <v>0</v>
      </c>
      <c r="R103">
        <v>7</v>
      </c>
      <c r="S103">
        <v>1</v>
      </c>
      <c r="T103">
        <v>1</v>
      </c>
      <c r="U103">
        <v>0</v>
      </c>
      <c r="V103" t="s">
        <v>47</v>
      </c>
      <c r="W103">
        <v>0</v>
      </c>
      <c r="X103">
        <v>0.93333333333333302</v>
      </c>
      <c r="Y103">
        <v>0</v>
      </c>
      <c r="Z103">
        <v>3.3181818181818099</v>
      </c>
      <c r="AA103">
        <v>5.84</v>
      </c>
      <c r="AB103">
        <v>2</v>
      </c>
      <c r="AC103">
        <v>3.4760869565217298</v>
      </c>
    </row>
    <row r="104" spans="1:29" x14ac:dyDescent="0.35">
      <c r="A104" t="s">
        <v>183</v>
      </c>
      <c r="B104" t="s">
        <v>43</v>
      </c>
      <c r="C104" s="1">
        <v>45683</v>
      </c>
      <c r="D104" t="s">
        <v>31</v>
      </c>
      <c r="E104" s="2">
        <v>0.80208333333333337</v>
      </c>
      <c r="F104" t="s">
        <v>89</v>
      </c>
      <c r="G104">
        <v>64</v>
      </c>
      <c r="H104">
        <v>55</v>
      </c>
      <c r="I104">
        <v>18.399999999999999</v>
      </c>
      <c r="J104">
        <v>32</v>
      </c>
      <c r="K104" t="s">
        <v>46</v>
      </c>
      <c r="L104">
        <v>1</v>
      </c>
      <c r="M104" t="s">
        <v>34</v>
      </c>
      <c r="N104">
        <v>38</v>
      </c>
      <c r="O104">
        <v>31</v>
      </c>
      <c r="P104">
        <v>7.4</v>
      </c>
      <c r="Q104">
        <v>0</v>
      </c>
      <c r="R104">
        <v>19</v>
      </c>
      <c r="S104">
        <v>1</v>
      </c>
      <c r="T104">
        <v>6</v>
      </c>
      <c r="U104">
        <v>1</v>
      </c>
      <c r="V104" t="s">
        <v>41</v>
      </c>
      <c r="W104">
        <v>0</v>
      </c>
      <c r="X104">
        <v>0.81578947368420995</v>
      </c>
      <c r="Y104">
        <v>1</v>
      </c>
      <c r="Z104">
        <v>2</v>
      </c>
      <c r="AA104">
        <v>3.4782608695652102</v>
      </c>
      <c r="AB104">
        <v>9</v>
      </c>
      <c r="AC104">
        <v>8.6013888888888896</v>
      </c>
    </row>
    <row r="105" spans="1:29" x14ac:dyDescent="0.35">
      <c r="A105" t="s">
        <v>184</v>
      </c>
      <c r="B105" t="s">
        <v>37</v>
      </c>
      <c r="C105" s="1">
        <v>45666</v>
      </c>
      <c r="D105" t="s">
        <v>54</v>
      </c>
      <c r="E105" s="2">
        <v>0.59375</v>
      </c>
      <c r="F105" t="s">
        <v>39</v>
      </c>
      <c r="G105">
        <v>34</v>
      </c>
      <c r="H105">
        <v>33</v>
      </c>
      <c r="I105">
        <v>9.5</v>
      </c>
      <c r="J105">
        <v>17</v>
      </c>
      <c r="K105" t="s">
        <v>40</v>
      </c>
      <c r="L105">
        <v>0</v>
      </c>
      <c r="M105" t="s">
        <v>34</v>
      </c>
      <c r="N105">
        <v>39</v>
      </c>
      <c r="O105">
        <v>39</v>
      </c>
      <c r="P105">
        <v>9.1</v>
      </c>
      <c r="Q105">
        <v>0</v>
      </c>
      <c r="R105">
        <v>14</v>
      </c>
      <c r="S105">
        <v>1</v>
      </c>
      <c r="T105">
        <v>3</v>
      </c>
      <c r="U105">
        <v>0</v>
      </c>
      <c r="V105" t="s">
        <v>35</v>
      </c>
      <c r="W105">
        <v>0</v>
      </c>
      <c r="X105">
        <v>1</v>
      </c>
      <c r="Y105">
        <v>1</v>
      </c>
      <c r="Z105">
        <v>2</v>
      </c>
      <c r="AA105">
        <v>3.57894736842105</v>
      </c>
      <c r="AB105">
        <v>1</v>
      </c>
      <c r="AC105">
        <v>3.8470588235294101</v>
      </c>
    </row>
    <row r="106" spans="1:29" x14ac:dyDescent="0.35">
      <c r="A106" t="s">
        <v>185</v>
      </c>
      <c r="B106" t="s">
        <v>57</v>
      </c>
      <c r="C106" s="1">
        <v>45702</v>
      </c>
      <c r="D106" t="s">
        <v>38</v>
      </c>
      <c r="E106" s="2">
        <v>0.30208333333333331</v>
      </c>
      <c r="F106" t="s">
        <v>100</v>
      </c>
      <c r="G106">
        <v>103</v>
      </c>
      <c r="H106">
        <v>93</v>
      </c>
      <c r="I106">
        <v>14.2</v>
      </c>
      <c r="J106">
        <v>25</v>
      </c>
      <c r="K106" t="s">
        <v>46</v>
      </c>
      <c r="L106">
        <v>0</v>
      </c>
      <c r="M106" t="s">
        <v>34</v>
      </c>
      <c r="N106">
        <v>26</v>
      </c>
      <c r="O106">
        <v>23</v>
      </c>
      <c r="P106">
        <v>6.4</v>
      </c>
      <c r="Q106">
        <v>0</v>
      </c>
      <c r="R106">
        <v>7</v>
      </c>
      <c r="S106">
        <v>2</v>
      </c>
      <c r="T106">
        <v>4</v>
      </c>
      <c r="U106">
        <v>0</v>
      </c>
      <c r="V106" t="s">
        <v>47</v>
      </c>
      <c r="W106">
        <v>0</v>
      </c>
      <c r="X106">
        <v>0.88461538461538403</v>
      </c>
      <c r="Y106">
        <v>1</v>
      </c>
      <c r="Z106">
        <v>4.12</v>
      </c>
      <c r="AA106">
        <v>7.2535211267605604</v>
      </c>
      <c r="AB106">
        <v>10</v>
      </c>
      <c r="AC106">
        <v>8.3255319148936096</v>
      </c>
    </row>
    <row r="107" spans="1:29" x14ac:dyDescent="0.35">
      <c r="A107" t="s">
        <v>186</v>
      </c>
      <c r="B107" t="s">
        <v>43</v>
      </c>
      <c r="C107" s="1">
        <v>45710</v>
      </c>
      <c r="D107" t="s">
        <v>50</v>
      </c>
      <c r="E107" s="2">
        <v>0.67708333333333337</v>
      </c>
      <c r="F107" t="s">
        <v>110</v>
      </c>
      <c r="G107">
        <v>54</v>
      </c>
      <c r="H107">
        <v>53</v>
      </c>
      <c r="I107">
        <v>18.399999999999999</v>
      </c>
      <c r="J107">
        <v>32</v>
      </c>
      <c r="K107" t="s">
        <v>46</v>
      </c>
      <c r="L107">
        <v>0</v>
      </c>
      <c r="M107" t="s">
        <v>69</v>
      </c>
      <c r="N107">
        <v>37</v>
      </c>
      <c r="O107">
        <v>30</v>
      </c>
      <c r="P107">
        <v>8.8000000000000007</v>
      </c>
      <c r="Q107">
        <v>1</v>
      </c>
      <c r="R107">
        <v>16</v>
      </c>
      <c r="S107">
        <v>2</v>
      </c>
      <c r="T107">
        <v>5</v>
      </c>
      <c r="U107">
        <v>1</v>
      </c>
      <c r="V107" t="s">
        <v>35</v>
      </c>
      <c r="W107">
        <v>1</v>
      </c>
      <c r="X107">
        <v>0.81081081081080997</v>
      </c>
      <c r="Y107">
        <v>1</v>
      </c>
      <c r="Z107">
        <v>1.6875</v>
      </c>
      <c r="AA107">
        <v>2.9347826086956501</v>
      </c>
      <c r="AB107">
        <v>1</v>
      </c>
      <c r="AC107">
        <v>8.6013888888888896</v>
      </c>
    </row>
    <row r="108" spans="1:29" x14ac:dyDescent="0.35">
      <c r="A108" t="s">
        <v>187</v>
      </c>
      <c r="B108" t="s">
        <v>57</v>
      </c>
      <c r="C108" s="1">
        <v>45695</v>
      </c>
      <c r="D108" t="s">
        <v>38</v>
      </c>
      <c r="E108" s="2">
        <v>0.66666666666666663</v>
      </c>
      <c r="F108" t="s">
        <v>110</v>
      </c>
      <c r="G108">
        <v>43</v>
      </c>
      <c r="H108">
        <v>39</v>
      </c>
      <c r="I108">
        <v>14.2</v>
      </c>
      <c r="J108">
        <v>25</v>
      </c>
      <c r="K108" t="s">
        <v>46</v>
      </c>
      <c r="L108">
        <v>0</v>
      </c>
      <c r="M108" t="s">
        <v>34</v>
      </c>
      <c r="N108">
        <v>24</v>
      </c>
      <c r="O108">
        <v>19</v>
      </c>
      <c r="P108">
        <v>21.4</v>
      </c>
      <c r="Q108">
        <v>0</v>
      </c>
      <c r="R108">
        <v>16</v>
      </c>
      <c r="S108">
        <v>2</v>
      </c>
      <c r="T108">
        <v>4</v>
      </c>
      <c r="U108">
        <v>0</v>
      </c>
      <c r="V108" t="s">
        <v>35</v>
      </c>
      <c r="W108">
        <v>0</v>
      </c>
      <c r="X108">
        <v>0.79166666666666596</v>
      </c>
      <c r="Y108">
        <v>1</v>
      </c>
      <c r="Z108">
        <v>1.72</v>
      </c>
      <c r="AA108">
        <v>3.0281690140844999</v>
      </c>
      <c r="AB108">
        <v>4</v>
      </c>
      <c r="AC108">
        <v>8.3255319148936096</v>
      </c>
    </row>
    <row r="109" spans="1:29" x14ac:dyDescent="0.35">
      <c r="A109" t="s">
        <v>188</v>
      </c>
      <c r="B109" t="s">
        <v>43</v>
      </c>
      <c r="C109" s="1">
        <v>45697</v>
      </c>
      <c r="D109" t="s">
        <v>31</v>
      </c>
      <c r="E109" s="2">
        <v>0.30208333333333331</v>
      </c>
      <c r="F109" t="s">
        <v>55</v>
      </c>
      <c r="G109">
        <v>96</v>
      </c>
      <c r="H109">
        <v>87</v>
      </c>
      <c r="I109">
        <v>18.399999999999999</v>
      </c>
      <c r="J109">
        <v>32</v>
      </c>
      <c r="K109" t="s">
        <v>46</v>
      </c>
      <c r="L109">
        <v>0</v>
      </c>
      <c r="M109" t="s">
        <v>34</v>
      </c>
      <c r="N109">
        <v>18</v>
      </c>
      <c r="O109">
        <v>16</v>
      </c>
      <c r="P109">
        <v>7.5</v>
      </c>
      <c r="Q109">
        <v>0</v>
      </c>
      <c r="R109">
        <v>7</v>
      </c>
      <c r="S109">
        <v>2</v>
      </c>
      <c r="T109">
        <v>6</v>
      </c>
      <c r="U109">
        <v>1</v>
      </c>
      <c r="V109" t="s">
        <v>47</v>
      </c>
      <c r="W109">
        <v>0</v>
      </c>
      <c r="X109">
        <v>0.88888888888888795</v>
      </c>
      <c r="Y109">
        <v>1</v>
      </c>
      <c r="Z109">
        <v>3</v>
      </c>
      <c r="AA109">
        <v>5.2173913043478199</v>
      </c>
      <c r="AB109">
        <v>9</v>
      </c>
      <c r="AC109">
        <v>8.6013888888888896</v>
      </c>
    </row>
    <row r="110" spans="1:29" x14ac:dyDescent="0.35">
      <c r="A110" t="s">
        <v>189</v>
      </c>
      <c r="B110" t="s">
        <v>57</v>
      </c>
      <c r="C110" s="1">
        <v>45668</v>
      </c>
      <c r="D110" t="s">
        <v>50</v>
      </c>
      <c r="E110" s="2">
        <v>0.8125</v>
      </c>
      <c r="F110" t="s">
        <v>61</v>
      </c>
      <c r="G110">
        <v>90</v>
      </c>
      <c r="H110">
        <v>79</v>
      </c>
      <c r="I110">
        <v>14.2</v>
      </c>
      <c r="J110">
        <v>25</v>
      </c>
      <c r="K110" t="s">
        <v>46</v>
      </c>
      <c r="L110">
        <v>0</v>
      </c>
      <c r="M110" t="s">
        <v>52</v>
      </c>
      <c r="N110">
        <v>35</v>
      </c>
      <c r="O110">
        <v>31</v>
      </c>
      <c r="P110">
        <v>11.4</v>
      </c>
      <c r="Q110">
        <v>0</v>
      </c>
      <c r="R110">
        <v>19</v>
      </c>
      <c r="S110">
        <v>1</v>
      </c>
      <c r="T110">
        <v>5</v>
      </c>
      <c r="U110">
        <v>1</v>
      </c>
      <c r="V110" t="s">
        <v>41</v>
      </c>
      <c r="W110">
        <v>1</v>
      </c>
      <c r="X110">
        <v>0.88571428571428501</v>
      </c>
      <c r="Y110">
        <v>1</v>
      </c>
      <c r="Z110">
        <v>3.6</v>
      </c>
      <c r="AA110">
        <v>6.3380281690140796</v>
      </c>
      <c r="AB110">
        <v>11</v>
      </c>
      <c r="AC110">
        <v>8.3255319148936096</v>
      </c>
    </row>
    <row r="111" spans="1:29" x14ac:dyDescent="0.35">
      <c r="A111" t="s">
        <v>190</v>
      </c>
      <c r="B111" t="s">
        <v>65</v>
      </c>
      <c r="C111" s="1">
        <v>45690</v>
      </c>
      <c r="D111" t="s">
        <v>31</v>
      </c>
      <c r="E111" s="2">
        <v>0.6875</v>
      </c>
      <c r="F111" t="s">
        <v>58</v>
      </c>
      <c r="G111">
        <v>29</v>
      </c>
      <c r="H111">
        <v>27</v>
      </c>
      <c r="I111">
        <v>6.8</v>
      </c>
      <c r="J111">
        <v>12</v>
      </c>
      <c r="K111" t="s">
        <v>66</v>
      </c>
      <c r="L111">
        <v>0</v>
      </c>
      <c r="M111" t="s">
        <v>34</v>
      </c>
      <c r="N111">
        <v>37</v>
      </c>
      <c r="O111">
        <v>35</v>
      </c>
      <c r="P111">
        <v>3</v>
      </c>
      <c r="Q111">
        <v>0</v>
      </c>
      <c r="R111">
        <v>16</v>
      </c>
      <c r="S111">
        <v>2</v>
      </c>
      <c r="T111">
        <v>6</v>
      </c>
      <c r="U111">
        <v>1</v>
      </c>
      <c r="V111" t="s">
        <v>35</v>
      </c>
      <c r="W111">
        <v>0</v>
      </c>
      <c r="X111">
        <v>0.94594594594594505</v>
      </c>
      <c r="Y111">
        <v>0</v>
      </c>
      <c r="Z111">
        <v>2.4166666666666599</v>
      </c>
      <c r="AA111">
        <v>4.2647058823529402</v>
      </c>
      <c r="AB111">
        <v>2</v>
      </c>
      <c r="AC111">
        <v>2.7611111111111102</v>
      </c>
    </row>
    <row r="112" spans="1:29" x14ac:dyDescent="0.35">
      <c r="A112" t="s">
        <v>191</v>
      </c>
      <c r="B112" t="s">
        <v>30</v>
      </c>
      <c r="C112" s="1">
        <v>45690</v>
      </c>
      <c r="D112" t="s">
        <v>31</v>
      </c>
      <c r="E112" s="2">
        <v>0.82291666666666663</v>
      </c>
      <c r="F112" t="s">
        <v>32</v>
      </c>
      <c r="G112">
        <v>57</v>
      </c>
      <c r="H112">
        <v>52</v>
      </c>
      <c r="I112">
        <v>10.1</v>
      </c>
      <c r="J112">
        <v>19</v>
      </c>
      <c r="K112" t="s">
        <v>33</v>
      </c>
      <c r="L112">
        <v>0</v>
      </c>
      <c r="M112" t="s">
        <v>34</v>
      </c>
      <c r="N112">
        <v>23</v>
      </c>
      <c r="O112">
        <v>22</v>
      </c>
      <c r="P112">
        <v>2</v>
      </c>
      <c r="Q112">
        <v>0</v>
      </c>
      <c r="R112">
        <v>19</v>
      </c>
      <c r="S112">
        <v>2</v>
      </c>
      <c r="T112">
        <v>6</v>
      </c>
      <c r="U112">
        <v>1</v>
      </c>
      <c r="V112" t="s">
        <v>41</v>
      </c>
      <c r="W112">
        <v>0</v>
      </c>
      <c r="X112">
        <v>0.95652173913043403</v>
      </c>
      <c r="Y112">
        <v>0</v>
      </c>
      <c r="Z112">
        <v>3</v>
      </c>
      <c r="AA112">
        <v>5.6435643564356397</v>
      </c>
      <c r="AB112">
        <v>5</v>
      </c>
      <c r="AC112">
        <v>3.6613636363636299</v>
      </c>
    </row>
    <row r="113" spans="1:29" x14ac:dyDescent="0.35">
      <c r="A113" t="s">
        <v>192</v>
      </c>
      <c r="B113" t="s">
        <v>49</v>
      </c>
      <c r="C113" s="1">
        <v>45712</v>
      </c>
      <c r="D113" t="s">
        <v>87</v>
      </c>
      <c r="E113" s="2">
        <v>0.375</v>
      </c>
      <c r="F113" t="s">
        <v>45</v>
      </c>
      <c r="G113">
        <v>70</v>
      </c>
      <c r="H113">
        <v>69</v>
      </c>
      <c r="I113">
        <v>8.1999999999999993</v>
      </c>
      <c r="J113">
        <v>15</v>
      </c>
      <c r="K113" t="s">
        <v>51</v>
      </c>
      <c r="L113">
        <v>0</v>
      </c>
      <c r="M113" t="s">
        <v>34</v>
      </c>
      <c r="N113">
        <v>27</v>
      </c>
      <c r="O113">
        <v>27</v>
      </c>
      <c r="P113">
        <v>6.5</v>
      </c>
      <c r="Q113">
        <v>0</v>
      </c>
      <c r="R113">
        <v>9</v>
      </c>
      <c r="S113">
        <v>2</v>
      </c>
      <c r="T113">
        <v>0</v>
      </c>
      <c r="U113">
        <v>0</v>
      </c>
      <c r="V113" t="s">
        <v>47</v>
      </c>
      <c r="W113">
        <v>0</v>
      </c>
      <c r="X113">
        <v>1</v>
      </c>
      <c r="Y113">
        <v>1</v>
      </c>
      <c r="Z113">
        <v>4.6666666666666599</v>
      </c>
      <c r="AA113">
        <v>8.5365853658536501</v>
      </c>
      <c r="AB113">
        <v>1</v>
      </c>
      <c r="AC113">
        <v>3.6937500000000001</v>
      </c>
    </row>
    <row r="114" spans="1:29" x14ac:dyDescent="0.35">
      <c r="A114" t="s">
        <v>193</v>
      </c>
      <c r="B114" t="s">
        <v>102</v>
      </c>
      <c r="C114" s="1">
        <v>45704</v>
      </c>
      <c r="D114" t="s">
        <v>31</v>
      </c>
      <c r="E114" s="2">
        <v>0.70833333333333337</v>
      </c>
      <c r="F114" t="s">
        <v>68</v>
      </c>
      <c r="G114">
        <v>52</v>
      </c>
      <c r="H114">
        <v>45</v>
      </c>
      <c r="I114">
        <v>7.3</v>
      </c>
      <c r="J114">
        <v>13</v>
      </c>
      <c r="K114" t="s">
        <v>66</v>
      </c>
      <c r="L114">
        <v>0</v>
      </c>
      <c r="M114" t="s">
        <v>34</v>
      </c>
      <c r="N114">
        <v>38</v>
      </c>
      <c r="O114">
        <v>37</v>
      </c>
      <c r="P114">
        <v>8.1</v>
      </c>
      <c r="Q114">
        <v>0</v>
      </c>
      <c r="R114">
        <v>17</v>
      </c>
      <c r="S114">
        <v>2</v>
      </c>
      <c r="T114">
        <v>6</v>
      </c>
      <c r="U114">
        <v>1</v>
      </c>
      <c r="V114" t="s">
        <v>41</v>
      </c>
      <c r="W114">
        <v>0</v>
      </c>
      <c r="X114">
        <v>0.97368421052631504</v>
      </c>
      <c r="Y114">
        <v>1</v>
      </c>
      <c r="Z114">
        <v>4</v>
      </c>
      <c r="AA114">
        <v>7.1232876712328697</v>
      </c>
      <c r="AB114">
        <v>7</v>
      </c>
      <c r="AC114">
        <v>4.0518518518518496</v>
      </c>
    </row>
    <row r="115" spans="1:29" x14ac:dyDescent="0.35">
      <c r="A115" t="s">
        <v>194</v>
      </c>
      <c r="B115" t="s">
        <v>106</v>
      </c>
      <c r="C115" s="1">
        <v>45700</v>
      </c>
      <c r="D115" t="s">
        <v>78</v>
      </c>
      <c r="E115" s="2">
        <v>0.61458333333333337</v>
      </c>
      <c r="F115" t="s">
        <v>61</v>
      </c>
      <c r="G115">
        <v>64</v>
      </c>
      <c r="H115">
        <v>63</v>
      </c>
      <c r="I115">
        <v>15</v>
      </c>
      <c r="J115">
        <v>28</v>
      </c>
      <c r="K115" t="s">
        <v>40</v>
      </c>
      <c r="L115">
        <v>0</v>
      </c>
      <c r="M115" t="s">
        <v>34</v>
      </c>
      <c r="N115">
        <v>21</v>
      </c>
      <c r="O115">
        <v>18</v>
      </c>
      <c r="P115">
        <v>8.5</v>
      </c>
      <c r="Q115">
        <v>0</v>
      </c>
      <c r="R115">
        <v>14</v>
      </c>
      <c r="S115">
        <v>2</v>
      </c>
      <c r="T115">
        <v>2</v>
      </c>
      <c r="U115">
        <v>0</v>
      </c>
      <c r="V115" t="s">
        <v>35</v>
      </c>
      <c r="W115">
        <v>0</v>
      </c>
      <c r="X115">
        <v>0.85714285714285698</v>
      </c>
      <c r="Y115">
        <v>1</v>
      </c>
      <c r="Z115">
        <v>2.2857142857142798</v>
      </c>
      <c r="AA115">
        <v>4.2666666666666604</v>
      </c>
      <c r="AB115">
        <v>1</v>
      </c>
      <c r="AC115">
        <v>9.4749999999999996</v>
      </c>
    </row>
    <row r="116" spans="1:29" x14ac:dyDescent="0.35">
      <c r="A116" t="s">
        <v>195</v>
      </c>
      <c r="B116" t="s">
        <v>30</v>
      </c>
      <c r="C116" s="1">
        <v>45683</v>
      </c>
      <c r="D116" t="s">
        <v>31</v>
      </c>
      <c r="E116" s="2">
        <v>0.63541666666666663</v>
      </c>
      <c r="F116" t="s">
        <v>58</v>
      </c>
      <c r="G116">
        <v>40</v>
      </c>
      <c r="H116">
        <v>36</v>
      </c>
      <c r="I116">
        <v>10.1</v>
      </c>
      <c r="J116">
        <v>19</v>
      </c>
      <c r="K116" t="s">
        <v>33</v>
      </c>
      <c r="L116">
        <v>1</v>
      </c>
      <c r="M116" t="s">
        <v>34</v>
      </c>
      <c r="N116">
        <v>24</v>
      </c>
      <c r="O116">
        <v>24</v>
      </c>
      <c r="P116">
        <v>3.3</v>
      </c>
      <c r="Q116">
        <v>1</v>
      </c>
      <c r="R116">
        <v>15</v>
      </c>
      <c r="S116">
        <v>1</v>
      </c>
      <c r="T116">
        <v>6</v>
      </c>
      <c r="U116">
        <v>1</v>
      </c>
      <c r="V116" t="s">
        <v>35</v>
      </c>
      <c r="W116">
        <v>0</v>
      </c>
      <c r="X116">
        <v>1</v>
      </c>
      <c r="Y116">
        <v>0</v>
      </c>
      <c r="Z116">
        <v>2.1052631578947301</v>
      </c>
      <c r="AA116">
        <v>3.9603960396039599</v>
      </c>
      <c r="AB116">
        <v>4</v>
      </c>
      <c r="AC116">
        <v>3.6613636363636299</v>
      </c>
    </row>
    <row r="117" spans="1:29" x14ac:dyDescent="0.35">
      <c r="A117" t="s">
        <v>196</v>
      </c>
      <c r="B117" t="s">
        <v>65</v>
      </c>
      <c r="C117" s="1">
        <v>45694</v>
      </c>
      <c r="D117" t="s">
        <v>54</v>
      </c>
      <c r="E117" s="2">
        <v>0.3125</v>
      </c>
      <c r="F117" t="s">
        <v>150</v>
      </c>
      <c r="G117">
        <v>54</v>
      </c>
      <c r="H117">
        <v>50</v>
      </c>
      <c r="I117">
        <v>6.8</v>
      </c>
      <c r="J117">
        <v>12</v>
      </c>
      <c r="K117" t="s">
        <v>66</v>
      </c>
      <c r="L117">
        <v>0</v>
      </c>
      <c r="M117" t="s">
        <v>34</v>
      </c>
      <c r="N117">
        <v>29</v>
      </c>
      <c r="O117">
        <v>28</v>
      </c>
      <c r="P117">
        <v>6.4</v>
      </c>
      <c r="Q117">
        <v>0</v>
      </c>
      <c r="R117">
        <v>7</v>
      </c>
      <c r="S117">
        <v>2</v>
      </c>
      <c r="T117">
        <v>3</v>
      </c>
      <c r="U117">
        <v>0</v>
      </c>
      <c r="V117" t="s">
        <v>47</v>
      </c>
      <c r="W117">
        <v>0</v>
      </c>
      <c r="X117">
        <v>0.96551724137931005</v>
      </c>
      <c r="Y117">
        <v>1</v>
      </c>
      <c r="Z117">
        <v>4.5</v>
      </c>
      <c r="AA117">
        <v>7.9411764705882302</v>
      </c>
      <c r="AB117">
        <v>4</v>
      </c>
      <c r="AC117">
        <v>2.7611111111111102</v>
      </c>
    </row>
    <row r="118" spans="1:29" x14ac:dyDescent="0.35">
      <c r="A118" t="s">
        <v>197</v>
      </c>
      <c r="B118" t="s">
        <v>102</v>
      </c>
      <c r="C118" s="1">
        <v>45663</v>
      </c>
      <c r="D118" t="s">
        <v>87</v>
      </c>
      <c r="E118" s="2">
        <v>0.71875</v>
      </c>
      <c r="F118" t="s">
        <v>110</v>
      </c>
      <c r="G118">
        <v>50</v>
      </c>
      <c r="H118">
        <v>47</v>
      </c>
      <c r="I118">
        <v>7.3</v>
      </c>
      <c r="J118">
        <v>13</v>
      </c>
      <c r="K118" t="s">
        <v>66</v>
      </c>
      <c r="L118">
        <v>0</v>
      </c>
      <c r="M118" t="s">
        <v>34</v>
      </c>
      <c r="N118">
        <v>23</v>
      </c>
      <c r="O118">
        <v>22</v>
      </c>
      <c r="P118">
        <v>2.9</v>
      </c>
      <c r="Q118">
        <v>0</v>
      </c>
      <c r="R118">
        <v>17</v>
      </c>
      <c r="S118">
        <v>1</v>
      </c>
      <c r="T118">
        <v>0</v>
      </c>
      <c r="U118">
        <v>0</v>
      </c>
      <c r="V118" t="s">
        <v>41</v>
      </c>
      <c r="W118">
        <v>0</v>
      </c>
      <c r="X118">
        <v>0.95652173913043403</v>
      </c>
      <c r="Y118">
        <v>0</v>
      </c>
      <c r="Z118">
        <v>3.84615384615384</v>
      </c>
      <c r="AA118">
        <v>6.8493150684931496</v>
      </c>
      <c r="AB118">
        <v>3</v>
      </c>
      <c r="AC118">
        <v>4.0518518518518496</v>
      </c>
    </row>
    <row r="119" spans="1:29" x14ac:dyDescent="0.35">
      <c r="A119" t="s">
        <v>198</v>
      </c>
      <c r="B119" t="s">
        <v>49</v>
      </c>
      <c r="C119" s="1">
        <v>45695</v>
      </c>
      <c r="D119" t="s">
        <v>38</v>
      </c>
      <c r="E119" s="2">
        <v>0.65625</v>
      </c>
      <c r="F119" t="s">
        <v>32</v>
      </c>
      <c r="G119">
        <v>40</v>
      </c>
      <c r="H119">
        <v>38</v>
      </c>
      <c r="I119">
        <v>8.1999999999999993</v>
      </c>
      <c r="J119">
        <v>15</v>
      </c>
      <c r="K119" t="s">
        <v>51</v>
      </c>
      <c r="L119">
        <v>0</v>
      </c>
      <c r="M119" t="s">
        <v>34</v>
      </c>
      <c r="N119">
        <v>21</v>
      </c>
      <c r="O119">
        <v>21</v>
      </c>
      <c r="P119">
        <v>1.7</v>
      </c>
      <c r="Q119">
        <v>0</v>
      </c>
      <c r="R119">
        <v>15</v>
      </c>
      <c r="S119">
        <v>2</v>
      </c>
      <c r="T119">
        <v>4</v>
      </c>
      <c r="U119">
        <v>0</v>
      </c>
      <c r="V119" t="s">
        <v>35</v>
      </c>
      <c r="W119">
        <v>0</v>
      </c>
      <c r="X119">
        <v>1</v>
      </c>
      <c r="Y119">
        <v>0</v>
      </c>
      <c r="Z119">
        <v>2.6666666666666599</v>
      </c>
      <c r="AA119">
        <v>4.8780487804878003</v>
      </c>
      <c r="AB119">
        <v>2</v>
      </c>
      <c r="AC119">
        <v>3.6937500000000001</v>
      </c>
    </row>
    <row r="120" spans="1:29" x14ac:dyDescent="0.35">
      <c r="A120" t="s">
        <v>199</v>
      </c>
      <c r="B120" t="s">
        <v>106</v>
      </c>
      <c r="C120" s="1">
        <v>45695</v>
      </c>
      <c r="D120" t="s">
        <v>38</v>
      </c>
      <c r="E120" s="2">
        <v>0.65625</v>
      </c>
      <c r="F120" t="s">
        <v>80</v>
      </c>
      <c r="G120">
        <v>54</v>
      </c>
      <c r="H120">
        <v>52</v>
      </c>
      <c r="I120">
        <v>15</v>
      </c>
      <c r="J120">
        <v>28</v>
      </c>
      <c r="K120" t="s">
        <v>40</v>
      </c>
      <c r="L120">
        <v>0</v>
      </c>
      <c r="M120" t="s">
        <v>34</v>
      </c>
      <c r="N120">
        <v>23</v>
      </c>
      <c r="O120">
        <v>19</v>
      </c>
      <c r="P120">
        <v>6.8</v>
      </c>
      <c r="Q120">
        <v>0</v>
      </c>
      <c r="R120">
        <v>15</v>
      </c>
      <c r="S120">
        <v>2</v>
      </c>
      <c r="T120">
        <v>4</v>
      </c>
      <c r="U120">
        <v>0</v>
      </c>
      <c r="V120" t="s">
        <v>35</v>
      </c>
      <c r="W120">
        <v>0</v>
      </c>
      <c r="X120">
        <v>0.82608695652173902</v>
      </c>
      <c r="Y120">
        <v>1</v>
      </c>
      <c r="Z120">
        <v>1.9285714285714199</v>
      </c>
      <c r="AA120">
        <v>3.6</v>
      </c>
      <c r="AB120">
        <v>2</v>
      </c>
      <c r="AC120">
        <v>9.4749999999999996</v>
      </c>
    </row>
    <row r="121" spans="1:29" x14ac:dyDescent="0.35">
      <c r="A121" t="s">
        <v>200</v>
      </c>
      <c r="B121" t="s">
        <v>60</v>
      </c>
      <c r="C121" s="1">
        <v>45704</v>
      </c>
      <c r="D121" t="s">
        <v>31</v>
      </c>
      <c r="E121" s="2">
        <v>0.67708333333333337</v>
      </c>
      <c r="F121" t="s">
        <v>55</v>
      </c>
      <c r="G121">
        <v>34</v>
      </c>
      <c r="H121">
        <v>33</v>
      </c>
      <c r="I121">
        <v>12.5</v>
      </c>
      <c r="J121">
        <v>22</v>
      </c>
      <c r="K121" t="s">
        <v>51</v>
      </c>
      <c r="L121">
        <v>0</v>
      </c>
      <c r="M121" t="s">
        <v>34</v>
      </c>
      <c r="N121">
        <v>25</v>
      </c>
      <c r="O121">
        <v>24</v>
      </c>
      <c r="P121">
        <v>1.5</v>
      </c>
      <c r="Q121">
        <v>0</v>
      </c>
      <c r="R121">
        <v>16</v>
      </c>
      <c r="S121">
        <v>2</v>
      </c>
      <c r="T121">
        <v>6</v>
      </c>
      <c r="U121">
        <v>1</v>
      </c>
      <c r="V121" t="s">
        <v>35</v>
      </c>
      <c r="W121">
        <v>0</v>
      </c>
      <c r="X121">
        <v>0.96</v>
      </c>
      <c r="Y121">
        <v>0</v>
      </c>
      <c r="Z121">
        <v>1.5454545454545401</v>
      </c>
      <c r="AA121">
        <v>2.72</v>
      </c>
      <c r="AB121">
        <v>1</v>
      </c>
      <c r="AC121">
        <v>3.4760869565217298</v>
      </c>
    </row>
    <row r="122" spans="1:29" x14ac:dyDescent="0.35">
      <c r="A122" t="s">
        <v>201</v>
      </c>
      <c r="B122" t="s">
        <v>30</v>
      </c>
      <c r="C122" s="1">
        <v>45668</v>
      </c>
      <c r="D122" t="s">
        <v>50</v>
      </c>
      <c r="E122" s="2">
        <v>0.48958333333333331</v>
      </c>
      <c r="F122" t="s">
        <v>32</v>
      </c>
      <c r="G122">
        <v>59</v>
      </c>
      <c r="H122">
        <v>53</v>
      </c>
      <c r="I122">
        <v>10.1</v>
      </c>
      <c r="J122">
        <v>19</v>
      </c>
      <c r="K122" t="s">
        <v>33</v>
      </c>
      <c r="L122">
        <v>0</v>
      </c>
      <c r="M122" t="s">
        <v>52</v>
      </c>
      <c r="N122">
        <v>27</v>
      </c>
      <c r="O122">
        <v>26</v>
      </c>
      <c r="P122">
        <v>3.4</v>
      </c>
      <c r="Q122">
        <v>0</v>
      </c>
      <c r="R122">
        <v>11</v>
      </c>
      <c r="S122">
        <v>1</v>
      </c>
      <c r="T122">
        <v>5</v>
      </c>
      <c r="U122">
        <v>1</v>
      </c>
      <c r="V122" t="s">
        <v>35</v>
      </c>
      <c r="W122">
        <v>1</v>
      </c>
      <c r="X122">
        <v>0.96296296296296202</v>
      </c>
      <c r="Y122">
        <v>0</v>
      </c>
      <c r="Z122">
        <v>3.1052631578947301</v>
      </c>
      <c r="AA122">
        <v>5.8415841584158397</v>
      </c>
      <c r="AB122">
        <v>6</v>
      </c>
      <c r="AC122">
        <v>3.6613636363636299</v>
      </c>
    </row>
    <row r="123" spans="1:29" x14ac:dyDescent="0.35">
      <c r="A123" t="s">
        <v>202</v>
      </c>
      <c r="B123" t="s">
        <v>57</v>
      </c>
      <c r="C123" s="1">
        <v>45661</v>
      </c>
      <c r="D123" t="s">
        <v>50</v>
      </c>
      <c r="E123" s="2">
        <v>0.58333333333333337</v>
      </c>
      <c r="F123" t="s">
        <v>80</v>
      </c>
      <c r="G123">
        <v>42</v>
      </c>
      <c r="H123">
        <v>36</v>
      </c>
      <c r="I123">
        <v>14.2</v>
      </c>
      <c r="J123">
        <v>25</v>
      </c>
      <c r="K123" t="s">
        <v>46</v>
      </c>
      <c r="L123">
        <v>0</v>
      </c>
      <c r="M123" t="s">
        <v>34</v>
      </c>
      <c r="N123">
        <v>21</v>
      </c>
      <c r="O123">
        <v>19</v>
      </c>
      <c r="P123">
        <v>6.2</v>
      </c>
      <c r="Q123">
        <v>0</v>
      </c>
      <c r="R123">
        <v>14</v>
      </c>
      <c r="S123">
        <v>1</v>
      </c>
      <c r="T123">
        <v>5</v>
      </c>
      <c r="U123">
        <v>1</v>
      </c>
      <c r="V123" t="s">
        <v>35</v>
      </c>
      <c r="W123">
        <v>0</v>
      </c>
      <c r="X123">
        <v>0.90476190476190399</v>
      </c>
      <c r="Y123">
        <v>1</v>
      </c>
      <c r="Z123">
        <v>1.68</v>
      </c>
      <c r="AA123">
        <v>2.9577464788732302</v>
      </c>
      <c r="AB123">
        <v>6</v>
      </c>
      <c r="AC123">
        <v>8.3255319148936096</v>
      </c>
    </row>
    <row r="124" spans="1:29" x14ac:dyDescent="0.35">
      <c r="A124" t="s">
        <v>203</v>
      </c>
      <c r="B124" t="s">
        <v>60</v>
      </c>
      <c r="C124" s="1">
        <v>45671</v>
      </c>
      <c r="D124" t="s">
        <v>44</v>
      </c>
      <c r="E124" s="2">
        <v>0.32291666666666669</v>
      </c>
      <c r="F124" t="s">
        <v>39</v>
      </c>
      <c r="G124">
        <v>75</v>
      </c>
      <c r="H124">
        <v>72</v>
      </c>
      <c r="I124">
        <v>12.5</v>
      </c>
      <c r="J124">
        <v>22</v>
      </c>
      <c r="K124" t="s">
        <v>51</v>
      </c>
      <c r="L124">
        <v>1</v>
      </c>
      <c r="M124" t="s">
        <v>34</v>
      </c>
      <c r="N124">
        <v>20</v>
      </c>
      <c r="O124">
        <v>19</v>
      </c>
      <c r="P124">
        <v>2</v>
      </c>
      <c r="Q124">
        <v>0</v>
      </c>
      <c r="R124">
        <v>7</v>
      </c>
      <c r="S124">
        <v>1</v>
      </c>
      <c r="T124">
        <v>1</v>
      </c>
      <c r="U124">
        <v>0</v>
      </c>
      <c r="V124" t="s">
        <v>47</v>
      </c>
      <c r="W124">
        <v>0</v>
      </c>
      <c r="X124">
        <v>0.95</v>
      </c>
      <c r="Y124">
        <v>0</v>
      </c>
      <c r="Z124">
        <v>3.4090909090908998</v>
      </c>
      <c r="AA124">
        <v>6</v>
      </c>
      <c r="AB124">
        <v>3</v>
      </c>
      <c r="AC124">
        <v>3.4760869565217298</v>
      </c>
    </row>
    <row r="125" spans="1:29" x14ac:dyDescent="0.35">
      <c r="A125" t="s">
        <v>204</v>
      </c>
      <c r="B125" t="s">
        <v>60</v>
      </c>
      <c r="C125" s="1">
        <v>45698</v>
      </c>
      <c r="D125" t="s">
        <v>87</v>
      </c>
      <c r="E125" s="2">
        <v>0.45833333333333331</v>
      </c>
      <c r="F125" t="s">
        <v>73</v>
      </c>
      <c r="G125">
        <v>41</v>
      </c>
      <c r="H125">
        <v>40</v>
      </c>
      <c r="I125">
        <v>12.5</v>
      </c>
      <c r="J125">
        <v>22</v>
      </c>
      <c r="K125" t="s">
        <v>51</v>
      </c>
      <c r="L125">
        <v>0</v>
      </c>
      <c r="M125" t="s">
        <v>34</v>
      </c>
      <c r="N125">
        <v>38</v>
      </c>
      <c r="O125">
        <v>37</v>
      </c>
      <c r="P125">
        <v>1.2</v>
      </c>
      <c r="Q125">
        <v>0</v>
      </c>
      <c r="R125">
        <v>11</v>
      </c>
      <c r="S125">
        <v>2</v>
      </c>
      <c r="T125">
        <v>0</v>
      </c>
      <c r="U125">
        <v>0</v>
      </c>
      <c r="V125" t="s">
        <v>35</v>
      </c>
      <c r="W125">
        <v>0</v>
      </c>
      <c r="X125">
        <v>0.97368421052631504</v>
      </c>
      <c r="Y125">
        <v>0</v>
      </c>
      <c r="Z125">
        <v>1.86363636363636</v>
      </c>
      <c r="AA125">
        <v>3.28</v>
      </c>
      <c r="AB125">
        <v>1</v>
      </c>
      <c r="AC125">
        <v>3.4760869565217298</v>
      </c>
    </row>
    <row r="126" spans="1:29" x14ac:dyDescent="0.35">
      <c r="A126" t="s">
        <v>205</v>
      </c>
      <c r="B126" t="s">
        <v>65</v>
      </c>
      <c r="C126" s="1">
        <v>45690</v>
      </c>
      <c r="D126" t="s">
        <v>31</v>
      </c>
      <c r="E126" s="2">
        <v>0.77083333333333337</v>
      </c>
      <c r="F126" t="s">
        <v>89</v>
      </c>
      <c r="G126">
        <v>47</v>
      </c>
      <c r="H126">
        <v>44</v>
      </c>
      <c r="I126">
        <v>6.8</v>
      </c>
      <c r="J126">
        <v>12</v>
      </c>
      <c r="K126" t="s">
        <v>66</v>
      </c>
      <c r="L126">
        <v>0</v>
      </c>
      <c r="M126" t="s">
        <v>34</v>
      </c>
      <c r="N126">
        <v>37</v>
      </c>
      <c r="O126">
        <v>35</v>
      </c>
      <c r="P126">
        <v>3</v>
      </c>
      <c r="Q126">
        <v>0</v>
      </c>
      <c r="R126">
        <v>18</v>
      </c>
      <c r="S126">
        <v>2</v>
      </c>
      <c r="T126">
        <v>6</v>
      </c>
      <c r="U126">
        <v>1</v>
      </c>
      <c r="V126" t="s">
        <v>41</v>
      </c>
      <c r="W126">
        <v>0</v>
      </c>
      <c r="X126">
        <v>0.94594594594594505</v>
      </c>
      <c r="Y126">
        <v>0</v>
      </c>
      <c r="Z126">
        <v>3.9166666666666599</v>
      </c>
      <c r="AA126">
        <v>6.9117647058823497</v>
      </c>
      <c r="AB126">
        <v>3</v>
      </c>
      <c r="AC126">
        <v>2.7611111111111102</v>
      </c>
    </row>
    <row r="127" spans="1:29" x14ac:dyDescent="0.35">
      <c r="A127" t="s">
        <v>206</v>
      </c>
      <c r="B127" t="s">
        <v>57</v>
      </c>
      <c r="C127" s="1">
        <v>45685</v>
      </c>
      <c r="D127" t="s">
        <v>44</v>
      </c>
      <c r="E127" s="2">
        <v>0.58333333333333337</v>
      </c>
      <c r="F127" t="s">
        <v>45</v>
      </c>
      <c r="G127">
        <v>54</v>
      </c>
      <c r="H127">
        <v>53</v>
      </c>
      <c r="I127">
        <v>14.2</v>
      </c>
      <c r="J127">
        <v>25</v>
      </c>
      <c r="K127" t="s">
        <v>46</v>
      </c>
      <c r="L127">
        <v>0</v>
      </c>
      <c r="M127" t="s">
        <v>34</v>
      </c>
      <c r="N127">
        <v>36</v>
      </c>
      <c r="O127">
        <v>33</v>
      </c>
      <c r="P127">
        <v>14.7</v>
      </c>
      <c r="Q127">
        <v>0</v>
      </c>
      <c r="R127">
        <v>14</v>
      </c>
      <c r="S127">
        <v>1</v>
      </c>
      <c r="T127">
        <v>1</v>
      </c>
      <c r="U127">
        <v>0</v>
      </c>
      <c r="V127" t="s">
        <v>35</v>
      </c>
      <c r="W127">
        <v>0</v>
      </c>
      <c r="X127">
        <v>0.91666666666666596</v>
      </c>
      <c r="Y127">
        <v>1</v>
      </c>
      <c r="Z127">
        <v>2.16</v>
      </c>
      <c r="AA127">
        <v>3.8028169014084501</v>
      </c>
      <c r="AB127">
        <v>1</v>
      </c>
      <c r="AC127">
        <v>8.3255319148936096</v>
      </c>
    </row>
    <row r="128" spans="1:29" x14ac:dyDescent="0.35">
      <c r="A128" t="s">
        <v>207</v>
      </c>
      <c r="B128" t="s">
        <v>57</v>
      </c>
      <c r="C128" s="1">
        <v>45705</v>
      </c>
      <c r="D128" t="s">
        <v>87</v>
      </c>
      <c r="E128" s="2">
        <v>0.63541666666666663</v>
      </c>
      <c r="F128" t="s">
        <v>125</v>
      </c>
      <c r="G128">
        <v>54</v>
      </c>
      <c r="H128">
        <v>51</v>
      </c>
      <c r="I128">
        <v>14.2</v>
      </c>
      <c r="J128">
        <v>25</v>
      </c>
      <c r="K128" t="s">
        <v>46</v>
      </c>
      <c r="L128">
        <v>0</v>
      </c>
      <c r="M128" t="s">
        <v>34</v>
      </c>
      <c r="N128">
        <v>38</v>
      </c>
      <c r="O128">
        <v>34</v>
      </c>
      <c r="P128">
        <v>6.6</v>
      </c>
      <c r="Q128">
        <v>0</v>
      </c>
      <c r="R128">
        <v>15</v>
      </c>
      <c r="S128">
        <v>2</v>
      </c>
      <c r="T128">
        <v>0</v>
      </c>
      <c r="U128">
        <v>0</v>
      </c>
      <c r="V128" t="s">
        <v>35</v>
      </c>
      <c r="W128">
        <v>0</v>
      </c>
      <c r="X128">
        <v>0.89473684210526305</v>
      </c>
      <c r="Y128">
        <v>1</v>
      </c>
      <c r="Z128">
        <v>2.16</v>
      </c>
      <c r="AA128">
        <v>3.8028169014084501</v>
      </c>
      <c r="AB128">
        <v>3</v>
      </c>
      <c r="AC128">
        <v>8.3255319148936096</v>
      </c>
    </row>
    <row r="129" spans="1:29" x14ac:dyDescent="0.35">
      <c r="A129" t="s">
        <v>208</v>
      </c>
      <c r="B129" t="s">
        <v>106</v>
      </c>
      <c r="C129" s="1">
        <v>45681</v>
      </c>
      <c r="D129" t="s">
        <v>38</v>
      </c>
      <c r="E129" s="2">
        <v>0.85416666666666663</v>
      </c>
      <c r="F129" t="s">
        <v>110</v>
      </c>
      <c r="G129">
        <v>52</v>
      </c>
      <c r="H129">
        <v>47</v>
      </c>
      <c r="I129">
        <v>15</v>
      </c>
      <c r="J129">
        <v>28</v>
      </c>
      <c r="K129" t="s">
        <v>40</v>
      </c>
      <c r="L129">
        <v>0</v>
      </c>
      <c r="M129" t="s">
        <v>34</v>
      </c>
      <c r="N129">
        <v>37</v>
      </c>
      <c r="O129">
        <v>33</v>
      </c>
      <c r="P129">
        <v>5.0999999999999996</v>
      </c>
      <c r="Q129">
        <v>0</v>
      </c>
      <c r="R129">
        <v>20</v>
      </c>
      <c r="S129">
        <v>1</v>
      </c>
      <c r="T129">
        <v>4</v>
      </c>
      <c r="U129">
        <v>0</v>
      </c>
      <c r="V129" t="s">
        <v>35</v>
      </c>
      <c r="W129">
        <v>0</v>
      </c>
      <c r="X129">
        <v>0.891891891891891</v>
      </c>
      <c r="Y129">
        <v>1</v>
      </c>
      <c r="Z129">
        <v>1.8571428571428501</v>
      </c>
      <c r="AA129">
        <v>3.4666666666666601</v>
      </c>
      <c r="AB129">
        <v>5</v>
      </c>
      <c r="AC129">
        <v>9.4749999999999996</v>
      </c>
    </row>
    <row r="130" spans="1:29" x14ac:dyDescent="0.35">
      <c r="A130" t="s">
        <v>209</v>
      </c>
      <c r="B130" t="s">
        <v>49</v>
      </c>
      <c r="C130" s="1">
        <v>45695</v>
      </c>
      <c r="D130" t="s">
        <v>38</v>
      </c>
      <c r="E130" s="2">
        <v>0.65625</v>
      </c>
      <c r="F130" t="s">
        <v>39</v>
      </c>
      <c r="G130">
        <v>42</v>
      </c>
      <c r="H130">
        <v>41</v>
      </c>
      <c r="I130">
        <v>8.1999999999999993</v>
      </c>
      <c r="J130">
        <v>15</v>
      </c>
      <c r="K130" t="s">
        <v>51</v>
      </c>
      <c r="L130">
        <v>0</v>
      </c>
      <c r="M130" t="s">
        <v>34</v>
      </c>
      <c r="N130">
        <v>21</v>
      </c>
      <c r="O130">
        <v>21</v>
      </c>
      <c r="P130">
        <v>1.7</v>
      </c>
      <c r="Q130">
        <v>0</v>
      </c>
      <c r="R130">
        <v>15</v>
      </c>
      <c r="S130">
        <v>2</v>
      </c>
      <c r="T130">
        <v>4</v>
      </c>
      <c r="U130">
        <v>0</v>
      </c>
      <c r="V130" t="s">
        <v>35</v>
      </c>
      <c r="W130">
        <v>0</v>
      </c>
      <c r="X130">
        <v>1</v>
      </c>
      <c r="Y130">
        <v>0</v>
      </c>
      <c r="Z130">
        <v>2.8</v>
      </c>
      <c r="AA130">
        <v>5.1219512195121899</v>
      </c>
      <c r="AB130">
        <v>1</v>
      </c>
      <c r="AC130">
        <v>3.6937500000000001</v>
      </c>
    </row>
    <row r="131" spans="1:29" x14ac:dyDescent="0.35">
      <c r="A131" t="s">
        <v>210</v>
      </c>
      <c r="B131" t="s">
        <v>43</v>
      </c>
      <c r="C131" s="1">
        <v>45704</v>
      </c>
      <c r="D131" t="s">
        <v>31</v>
      </c>
      <c r="E131" s="2">
        <v>0.42708333333333331</v>
      </c>
      <c r="F131" t="s">
        <v>32</v>
      </c>
      <c r="G131">
        <v>44</v>
      </c>
      <c r="H131">
        <v>40</v>
      </c>
      <c r="I131">
        <v>18.399999999999999</v>
      </c>
      <c r="J131">
        <v>32</v>
      </c>
      <c r="K131" t="s">
        <v>46</v>
      </c>
      <c r="L131">
        <v>0</v>
      </c>
      <c r="M131" t="s">
        <v>34</v>
      </c>
      <c r="N131">
        <v>25</v>
      </c>
      <c r="O131">
        <v>23</v>
      </c>
      <c r="P131">
        <v>9.4</v>
      </c>
      <c r="Q131">
        <v>0</v>
      </c>
      <c r="R131">
        <v>10</v>
      </c>
      <c r="S131">
        <v>2</v>
      </c>
      <c r="T131">
        <v>6</v>
      </c>
      <c r="U131">
        <v>1</v>
      </c>
      <c r="V131" t="s">
        <v>35</v>
      </c>
      <c r="W131">
        <v>0</v>
      </c>
      <c r="X131">
        <v>0.92</v>
      </c>
      <c r="Y131">
        <v>1</v>
      </c>
      <c r="Z131">
        <v>1.375</v>
      </c>
      <c r="AA131">
        <v>2.3913043478260798</v>
      </c>
      <c r="AB131">
        <v>4</v>
      </c>
      <c r="AC131">
        <v>8.6013888888888896</v>
      </c>
    </row>
    <row r="132" spans="1:29" x14ac:dyDescent="0.35">
      <c r="A132" t="s">
        <v>211</v>
      </c>
      <c r="B132" t="s">
        <v>37</v>
      </c>
      <c r="C132" s="1">
        <v>45671</v>
      </c>
      <c r="D132" t="s">
        <v>44</v>
      </c>
      <c r="E132" s="2">
        <v>0.6875</v>
      </c>
      <c r="F132" t="s">
        <v>68</v>
      </c>
      <c r="G132">
        <v>47</v>
      </c>
      <c r="H132">
        <v>44</v>
      </c>
      <c r="I132">
        <v>9.5</v>
      </c>
      <c r="J132">
        <v>17</v>
      </c>
      <c r="K132" t="s">
        <v>40</v>
      </c>
      <c r="L132">
        <v>1</v>
      </c>
      <c r="M132" t="s">
        <v>34</v>
      </c>
      <c r="N132">
        <v>24</v>
      </c>
      <c r="O132">
        <v>23</v>
      </c>
      <c r="P132">
        <v>4.0999999999999996</v>
      </c>
      <c r="Q132">
        <v>1</v>
      </c>
      <c r="R132">
        <v>16</v>
      </c>
      <c r="S132">
        <v>1</v>
      </c>
      <c r="T132">
        <v>1</v>
      </c>
      <c r="U132">
        <v>0</v>
      </c>
      <c r="V132" t="s">
        <v>35</v>
      </c>
      <c r="W132">
        <v>0</v>
      </c>
      <c r="X132">
        <v>0.95833333333333304</v>
      </c>
      <c r="Y132">
        <v>0</v>
      </c>
      <c r="Z132">
        <v>2.7647058823529398</v>
      </c>
      <c r="AA132">
        <v>4.9473684210526301</v>
      </c>
      <c r="AB132">
        <v>3</v>
      </c>
      <c r="AC132">
        <v>3.8470588235294101</v>
      </c>
    </row>
    <row r="133" spans="1:29" x14ac:dyDescent="0.35">
      <c r="A133" t="s">
        <v>212</v>
      </c>
      <c r="B133" t="s">
        <v>30</v>
      </c>
      <c r="C133" s="1">
        <v>45668</v>
      </c>
      <c r="D133" t="s">
        <v>50</v>
      </c>
      <c r="E133" s="2">
        <v>0.59375</v>
      </c>
      <c r="F133" t="s">
        <v>125</v>
      </c>
      <c r="G133">
        <v>59</v>
      </c>
      <c r="H133">
        <v>50</v>
      </c>
      <c r="I133">
        <v>10.1</v>
      </c>
      <c r="J133">
        <v>19</v>
      </c>
      <c r="K133" t="s">
        <v>33</v>
      </c>
      <c r="L133">
        <v>0</v>
      </c>
      <c r="M133" t="s">
        <v>52</v>
      </c>
      <c r="N133">
        <v>27</v>
      </c>
      <c r="O133">
        <v>26</v>
      </c>
      <c r="P133">
        <v>3.4</v>
      </c>
      <c r="Q133">
        <v>0</v>
      </c>
      <c r="R133">
        <v>14</v>
      </c>
      <c r="S133">
        <v>1</v>
      </c>
      <c r="T133">
        <v>5</v>
      </c>
      <c r="U133">
        <v>1</v>
      </c>
      <c r="V133" t="s">
        <v>35</v>
      </c>
      <c r="W133">
        <v>1</v>
      </c>
      <c r="X133">
        <v>0.96296296296296202</v>
      </c>
      <c r="Y133">
        <v>0</v>
      </c>
      <c r="Z133">
        <v>3.1052631578947301</v>
      </c>
      <c r="AA133">
        <v>5.8415841584158397</v>
      </c>
      <c r="AB133">
        <v>9</v>
      </c>
      <c r="AC133">
        <v>3.6613636363636299</v>
      </c>
    </row>
    <row r="134" spans="1:29" x14ac:dyDescent="0.35">
      <c r="A134" t="s">
        <v>213</v>
      </c>
      <c r="B134" t="s">
        <v>106</v>
      </c>
      <c r="C134" s="1">
        <v>45682</v>
      </c>
      <c r="D134" t="s">
        <v>50</v>
      </c>
      <c r="E134" s="2">
        <v>0.83333333333333337</v>
      </c>
      <c r="F134" t="s">
        <v>100</v>
      </c>
      <c r="G134">
        <v>60</v>
      </c>
      <c r="H134">
        <v>56</v>
      </c>
      <c r="I134">
        <v>15</v>
      </c>
      <c r="J134">
        <v>28</v>
      </c>
      <c r="K134" t="s">
        <v>40</v>
      </c>
      <c r="L134">
        <v>0</v>
      </c>
      <c r="M134" t="s">
        <v>69</v>
      </c>
      <c r="N134">
        <v>22</v>
      </c>
      <c r="O134">
        <v>20</v>
      </c>
      <c r="P134">
        <v>12.1</v>
      </c>
      <c r="Q134">
        <v>0</v>
      </c>
      <c r="R134">
        <v>20</v>
      </c>
      <c r="S134">
        <v>1</v>
      </c>
      <c r="T134">
        <v>5</v>
      </c>
      <c r="U134">
        <v>1</v>
      </c>
      <c r="V134" t="s">
        <v>35</v>
      </c>
      <c r="W134">
        <v>1</v>
      </c>
      <c r="X134">
        <v>0.90909090909090895</v>
      </c>
      <c r="Y134">
        <v>1</v>
      </c>
      <c r="Z134">
        <v>2.1428571428571401</v>
      </c>
      <c r="AA134">
        <v>4</v>
      </c>
      <c r="AB134">
        <v>4</v>
      </c>
      <c r="AC134">
        <v>9.4749999999999996</v>
      </c>
    </row>
    <row r="135" spans="1:29" x14ac:dyDescent="0.35">
      <c r="A135" t="s">
        <v>214</v>
      </c>
      <c r="B135" t="s">
        <v>60</v>
      </c>
      <c r="C135" s="1">
        <v>45676</v>
      </c>
      <c r="D135" t="s">
        <v>31</v>
      </c>
      <c r="E135" s="2">
        <v>0.25</v>
      </c>
      <c r="F135" t="s">
        <v>45</v>
      </c>
      <c r="G135">
        <v>19</v>
      </c>
      <c r="H135">
        <v>18</v>
      </c>
      <c r="I135">
        <v>12.5</v>
      </c>
      <c r="J135">
        <v>22</v>
      </c>
      <c r="K135" t="s">
        <v>51</v>
      </c>
      <c r="L135">
        <v>0</v>
      </c>
      <c r="M135" t="s">
        <v>34</v>
      </c>
      <c r="N135">
        <v>29</v>
      </c>
      <c r="O135">
        <v>27</v>
      </c>
      <c r="P135">
        <v>2.7</v>
      </c>
      <c r="Q135">
        <v>1</v>
      </c>
      <c r="R135">
        <v>6</v>
      </c>
      <c r="S135">
        <v>1</v>
      </c>
      <c r="T135">
        <v>6</v>
      </c>
      <c r="U135">
        <v>1</v>
      </c>
      <c r="V135" t="s">
        <v>35</v>
      </c>
      <c r="W135">
        <v>0</v>
      </c>
      <c r="X135">
        <v>0.93103448275862</v>
      </c>
      <c r="Y135">
        <v>0</v>
      </c>
      <c r="Z135">
        <v>0.86363636363636298</v>
      </c>
      <c r="AA135">
        <v>1.52</v>
      </c>
      <c r="AB135">
        <v>1</v>
      </c>
      <c r="AC135">
        <v>3.4760869565217298</v>
      </c>
    </row>
    <row r="136" spans="1:29" x14ac:dyDescent="0.35">
      <c r="A136" t="s">
        <v>215</v>
      </c>
      <c r="B136" t="s">
        <v>72</v>
      </c>
      <c r="C136" s="1">
        <v>45694</v>
      </c>
      <c r="D136" t="s">
        <v>54</v>
      </c>
      <c r="E136" s="2">
        <v>0.33333333333333331</v>
      </c>
      <c r="F136" t="s">
        <v>100</v>
      </c>
      <c r="G136">
        <v>83</v>
      </c>
      <c r="H136">
        <v>77</v>
      </c>
      <c r="I136">
        <v>11.6</v>
      </c>
      <c r="J136">
        <v>21</v>
      </c>
      <c r="K136" t="s">
        <v>33</v>
      </c>
      <c r="L136">
        <v>0</v>
      </c>
      <c r="M136" t="s">
        <v>34</v>
      </c>
      <c r="N136">
        <v>32</v>
      </c>
      <c r="O136">
        <v>31</v>
      </c>
      <c r="P136">
        <v>1.7</v>
      </c>
      <c r="Q136">
        <v>0</v>
      </c>
      <c r="R136">
        <v>8</v>
      </c>
      <c r="S136">
        <v>2</v>
      </c>
      <c r="T136">
        <v>3</v>
      </c>
      <c r="U136">
        <v>0</v>
      </c>
      <c r="V136" t="s">
        <v>47</v>
      </c>
      <c r="W136">
        <v>0</v>
      </c>
      <c r="X136">
        <v>0.96875</v>
      </c>
      <c r="Y136">
        <v>0</v>
      </c>
      <c r="Z136">
        <v>3.9523809523809499</v>
      </c>
      <c r="AA136">
        <v>7.1551724137930997</v>
      </c>
      <c r="AB136">
        <v>6</v>
      </c>
      <c r="AC136">
        <v>2.80217391304347</v>
      </c>
    </row>
    <row r="137" spans="1:29" x14ac:dyDescent="0.35">
      <c r="A137" t="s">
        <v>216</v>
      </c>
      <c r="B137" t="s">
        <v>30</v>
      </c>
      <c r="C137" s="1">
        <v>45667</v>
      </c>
      <c r="D137" t="s">
        <v>38</v>
      </c>
      <c r="E137" s="2">
        <v>0.3125</v>
      </c>
      <c r="F137" t="s">
        <v>110</v>
      </c>
      <c r="G137">
        <v>73</v>
      </c>
      <c r="H137">
        <v>68</v>
      </c>
      <c r="I137">
        <v>10.1</v>
      </c>
      <c r="J137">
        <v>19</v>
      </c>
      <c r="K137" t="s">
        <v>33</v>
      </c>
      <c r="L137">
        <v>0</v>
      </c>
      <c r="M137" t="s">
        <v>34</v>
      </c>
      <c r="N137">
        <v>39</v>
      </c>
      <c r="O137">
        <v>37</v>
      </c>
      <c r="P137">
        <v>5.2</v>
      </c>
      <c r="Q137">
        <v>0</v>
      </c>
      <c r="R137">
        <v>7</v>
      </c>
      <c r="S137">
        <v>1</v>
      </c>
      <c r="T137">
        <v>4</v>
      </c>
      <c r="U137">
        <v>0</v>
      </c>
      <c r="V137" t="s">
        <v>47</v>
      </c>
      <c r="W137">
        <v>0</v>
      </c>
      <c r="X137">
        <v>0.94871794871794801</v>
      </c>
      <c r="Y137">
        <v>1</v>
      </c>
      <c r="Z137">
        <v>3.8421052631578898</v>
      </c>
      <c r="AA137">
        <v>7.2277227722772199</v>
      </c>
      <c r="AB137">
        <v>5</v>
      </c>
      <c r="AC137">
        <v>3.6613636363636299</v>
      </c>
    </row>
    <row r="138" spans="1:29" x14ac:dyDescent="0.35">
      <c r="A138" t="s">
        <v>217</v>
      </c>
      <c r="B138" t="s">
        <v>30</v>
      </c>
      <c r="C138" s="1">
        <v>45714</v>
      </c>
      <c r="D138" t="s">
        <v>78</v>
      </c>
      <c r="E138" s="2">
        <v>0.25</v>
      </c>
      <c r="F138" t="s">
        <v>150</v>
      </c>
      <c r="G138">
        <v>44</v>
      </c>
      <c r="H138">
        <v>38</v>
      </c>
      <c r="I138">
        <v>10.1</v>
      </c>
      <c r="J138">
        <v>19</v>
      </c>
      <c r="K138" t="s">
        <v>33</v>
      </c>
      <c r="L138">
        <v>0</v>
      </c>
      <c r="M138" t="s">
        <v>34</v>
      </c>
      <c r="N138">
        <v>36</v>
      </c>
      <c r="O138">
        <v>35</v>
      </c>
      <c r="P138">
        <v>2.2999999999999998</v>
      </c>
      <c r="Q138">
        <v>0</v>
      </c>
      <c r="R138">
        <v>6</v>
      </c>
      <c r="S138">
        <v>2</v>
      </c>
      <c r="T138">
        <v>2</v>
      </c>
      <c r="U138">
        <v>0</v>
      </c>
      <c r="V138" t="s">
        <v>35</v>
      </c>
      <c r="W138">
        <v>0</v>
      </c>
      <c r="X138">
        <v>0.97222222222222199</v>
      </c>
      <c r="Y138">
        <v>0</v>
      </c>
      <c r="Z138">
        <v>2.3157894736842102</v>
      </c>
      <c r="AA138">
        <v>4.3564356435643496</v>
      </c>
      <c r="AB138">
        <v>6</v>
      </c>
      <c r="AC138">
        <v>3.6613636363636299</v>
      </c>
    </row>
    <row r="139" spans="1:29" x14ac:dyDescent="0.35">
      <c r="A139" t="s">
        <v>218</v>
      </c>
      <c r="B139" t="s">
        <v>106</v>
      </c>
      <c r="C139" s="1">
        <v>45694</v>
      </c>
      <c r="D139" t="s">
        <v>54</v>
      </c>
      <c r="E139" s="2">
        <v>0.4375</v>
      </c>
      <c r="F139" t="s">
        <v>45</v>
      </c>
      <c r="G139">
        <v>45</v>
      </c>
      <c r="H139">
        <v>41</v>
      </c>
      <c r="I139">
        <v>15</v>
      </c>
      <c r="J139">
        <v>28</v>
      </c>
      <c r="K139" t="s">
        <v>40</v>
      </c>
      <c r="L139">
        <v>0</v>
      </c>
      <c r="M139" t="s">
        <v>34</v>
      </c>
      <c r="N139">
        <v>34</v>
      </c>
      <c r="O139">
        <v>32</v>
      </c>
      <c r="P139">
        <v>10.3</v>
      </c>
      <c r="Q139">
        <v>0</v>
      </c>
      <c r="R139">
        <v>10</v>
      </c>
      <c r="S139">
        <v>2</v>
      </c>
      <c r="T139">
        <v>3</v>
      </c>
      <c r="U139">
        <v>0</v>
      </c>
      <c r="V139" t="s">
        <v>35</v>
      </c>
      <c r="W139">
        <v>0</v>
      </c>
      <c r="X139">
        <v>0.94117647058823495</v>
      </c>
      <c r="Y139">
        <v>1</v>
      </c>
      <c r="Z139">
        <v>1.6071428571428501</v>
      </c>
      <c r="AA139">
        <v>3</v>
      </c>
      <c r="AB139">
        <v>4</v>
      </c>
      <c r="AC139">
        <v>9.4749999999999996</v>
      </c>
    </row>
    <row r="140" spans="1:29" x14ac:dyDescent="0.35">
      <c r="A140" t="s">
        <v>219</v>
      </c>
      <c r="B140" t="s">
        <v>72</v>
      </c>
      <c r="C140" s="1">
        <v>45660</v>
      </c>
      <c r="D140" t="s">
        <v>38</v>
      </c>
      <c r="E140" s="2">
        <v>0.32291666666666669</v>
      </c>
      <c r="F140" t="s">
        <v>32</v>
      </c>
      <c r="G140">
        <v>68</v>
      </c>
      <c r="H140">
        <v>60</v>
      </c>
      <c r="I140">
        <v>11.6</v>
      </c>
      <c r="J140">
        <v>21</v>
      </c>
      <c r="K140" t="s">
        <v>33</v>
      </c>
      <c r="L140">
        <v>0</v>
      </c>
      <c r="M140" t="s">
        <v>34</v>
      </c>
      <c r="N140">
        <v>35</v>
      </c>
      <c r="O140">
        <v>34</v>
      </c>
      <c r="P140">
        <v>4.5999999999999996</v>
      </c>
      <c r="Q140">
        <v>0</v>
      </c>
      <c r="R140">
        <v>7</v>
      </c>
      <c r="S140">
        <v>1</v>
      </c>
      <c r="T140">
        <v>4</v>
      </c>
      <c r="U140">
        <v>0</v>
      </c>
      <c r="V140" t="s">
        <v>47</v>
      </c>
      <c r="W140">
        <v>0</v>
      </c>
      <c r="X140">
        <v>0.97142857142857097</v>
      </c>
      <c r="Y140">
        <v>0</v>
      </c>
      <c r="Z140">
        <v>3.2380952380952301</v>
      </c>
      <c r="AA140">
        <v>5.8620689655172402</v>
      </c>
      <c r="AB140">
        <v>8</v>
      </c>
      <c r="AC140">
        <v>2.80217391304347</v>
      </c>
    </row>
    <row r="141" spans="1:29" x14ac:dyDescent="0.35">
      <c r="A141" t="s">
        <v>220</v>
      </c>
      <c r="B141" t="s">
        <v>37</v>
      </c>
      <c r="C141" s="1">
        <v>45697</v>
      </c>
      <c r="D141" t="s">
        <v>31</v>
      </c>
      <c r="E141" s="2">
        <v>0.375</v>
      </c>
      <c r="F141" t="s">
        <v>39</v>
      </c>
      <c r="G141">
        <v>52</v>
      </c>
      <c r="H141">
        <v>47</v>
      </c>
      <c r="I141">
        <v>9.5</v>
      </c>
      <c r="J141">
        <v>17</v>
      </c>
      <c r="K141" t="s">
        <v>40</v>
      </c>
      <c r="L141">
        <v>0</v>
      </c>
      <c r="M141" t="s">
        <v>34</v>
      </c>
      <c r="N141">
        <v>31</v>
      </c>
      <c r="O141">
        <v>30</v>
      </c>
      <c r="P141">
        <v>4.5999999999999996</v>
      </c>
      <c r="Q141">
        <v>0</v>
      </c>
      <c r="R141">
        <v>9</v>
      </c>
      <c r="S141">
        <v>2</v>
      </c>
      <c r="T141">
        <v>6</v>
      </c>
      <c r="U141">
        <v>1</v>
      </c>
      <c r="V141" t="s">
        <v>47</v>
      </c>
      <c r="W141">
        <v>0</v>
      </c>
      <c r="X141">
        <v>0.967741935483871</v>
      </c>
      <c r="Y141">
        <v>0</v>
      </c>
      <c r="Z141">
        <v>3.0588235294117601</v>
      </c>
      <c r="AA141">
        <v>5.4736842105263097</v>
      </c>
      <c r="AB141">
        <v>5</v>
      </c>
      <c r="AC141">
        <v>3.8470588235294101</v>
      </c>
    </row>
    <row r="142" spans="1:29" x14ac:dyDescent="0.35">
      <c r="A142" t="s">
        <v>221</v>
      </c>
      <c r="B142" t="s">
        <v>106</v>
      </c>
      <c r="C142" s="1">
        <v>45704</v>
      </c>
      <c r="D142" t="s">
        <v>31</v>
      </c>
      <c r="E142" s="2">
        <v>0.22916666666666666</v>
      </c>
      <c r="F142" t="s">
        <v>63</v>
      </c>
      <c r="G142">
        <v>24</v>
      </c>
      <c r="H142">
        <v>23</v>
      </c>
      <c r="I142">
        <v>15</v>
      </c>
      <c r="J142">
        <v>28</v>
      </c>
      <c r="K142" t="s">
        <v>40</v>
      </c>
      <c r="L142">
        <v>0</v>
      </c>
      <c r="M142" t="s">
        <v>34</v>
      </c>
      <c r="N142">
        <v>25</v>
      </c>
      <c r="O142">
        <v>21</v>
      </c>
      <c r="P142">
        <v>7.7</v>
      </c>
      <c r="Q142">
        <v>0</v>
      </c>
      <c r="R142">
        <v>5</v>
      </c>
      <c r="S142">
        <v>2</v>
      </c>
      <c r="T142">
        <v>6</v>
      </c>
      <c r="U142">
        <v>1</v>
      </c>
      <c r="V142" t="s">
        <v>35</v>
      </c>
      <c r="W142">
        <v>0</v>
      </c>
      <c r="X142">
        <v>0.84</v>
      </c>
      <c r="Y142">
        <v>1</v>
      </c>
      <c r="Z142">
        <v>0.85714285714285698</v>
      </c>
      <c r="AA142">
        <v>1.6</v>
      </c>
      <c r="AB142">
        <v>1</v>
      </c>
      <c r="AC142">
        <v>9.4749999999999996</v>
      </c>
    </row>
    <row r="143" spans="1:29" x14ac:dyDescent="0.35">
      <c r="A143" t="s">
        <v>222</v>
      </c>
      <c r="B143" t="s">
        <v>57</v>
      </c>
      <c r="C143" s="1">
        <v>45678</v>
      </c>
      <c r="D143" t="s">
        <v>44</v>
      </c>
      <c r="E143" s="2">
        <v>0.72916666666666663</v>
      </c>
      <c r="F143" t="s">
        <v>32</v>
      </c>
      <c r="G143">
        <v>73</v>
      </c>
      <c r="H143">
        <v>72</v>
      </c>
      <c r="I143">
        <v>14.2</v>
      </c>
      <c r="J143">
        <v>25</v>
      </c>
      <c r="K143" t="s">
        <v>46</v>
      </c>
      <c r="L143">
        <v>0</v>
      </c>
      <c r="M143" t="s">
        <v>34</v>
      </c>
      <c r="N143">
        <v>22</v>
      </c>
      <c r="O143">
        <v>18</v>
      </c>
      <c r="P143">
        <v>5.3</v>
      </c>
      <c r="Q143">
        <v>0</v>
      </c>
      <c r="R143">
        <v>17</v>
      </c>
      <c r="S143">
        <v>1</v>
      </c>
      <c r="T143">
        <v>1</v>
      </c>
      <c r="U143">
        <v>0</v>
      </c>
      <c r="V143" t="s">
        <v>41</v>
      </c>
      <c r="W143">
        <v>0</v>
      </c>
      <c r="X143">
        <v>0.81818181818181801</v>
      </c>
      <c r="Y143">
        <v>1</v>
      </c>
      <c r="Z143">
        <v>2.92</v>
      </c>
      <c r="AA143">
        <v>5.1408450704225297</v>
      </c>
      <c r="AB143">
        <v>1</v>
      </c>
      <c r="AC143">
        <v>8.3255319148936096</v>
      </c>
    </row>
    <row r="144" spans="1:29" x14ac:dyDescent="0.35">
      <c r="A144" t="s">
        <v>223</v>
      </c>
      <c r="B144" t="s">
        <v>106</v>
      </c>
      <c r="C144" s="1">
        <v>45692</v>
      </c>
      <c r="D144" t="s">
        <v>44</v>
      </c>
      <c r="E144" s="2">
        <v>0.71875</v>
      </c>
      <c r="F144" t="s">
        <v>58</v>
      </c>
      <c r="G144">
        <v>105</v>
      </c>
      <c r="H144">
        <v>103</v>
      </c>
      <c r="I144">
        <v>15</v>
      </c>
      <c r="J144">
        <v>28</v>
      </c>
      <c r="K144" t="s">
        <v>40</v>
      </c>
      <c r="L144">
        <v>0</v>
      </c>
      <c r="M144" t="s">
        <v>34</v>
      </c>
      <c r="N144">
        <v>39</v>
      </c>
      <c r="O144">
        <v>37</v>
      </c>
      <c r="P144">
        <v>3.4</v>
      </c>
      <c r="Q144">
        <v>0</v>
      </c>
      <c r="R144">
        <v>17</v>
      </c>
      <c r="S144">
        <v>2</v>
      </c>
      <c r="T144">
        <v>1</v>
      </c>
      <c r="U144">
        <v>0</v>
      </c>
      <c r="V144" t="s">
        <v>41</v>
      </c>
      <c r="W144">
        <v>0</v>
      </c>
      <c r="X144">
        <v>0.94871794871794801</v>
      </c>
      <c r="Y144">
        <v>0</v>
      </c>
      <c r="Z144">
        <v>3.75</v>
      </c>
      <c r="AA144">
        <v>7</v>
      </c>
      <c r="AB144">
        <v>2</v>
      </c>
      <c r="AC144">
        <v>9.4749999999999996</v>
      </c>
    </row>
    <row r="145" spans="1:29" x14ac:dyDescent="0.35">
      <c r="A145" t="s">
        <v>224</v>
      </c>
      <c r="B145" t="s">
        <v>72</v>
      </c>
      <c r="C145" s="1">
        <v>45697</v>
      </c>
      <c r="D145" t="s">
        <v>31</v>
      </c>
      <c r="E145" s="2">
        <v>0.69791666666666663</v>
      </c>
      <c r="F145" t="s">
        <v>73</v>
      </c>
      <c r="G145">
        <v>33</v>
      </c>
      <c r="H145">
        <v>28</v>
      </c>
      <c r="I145">
        <v>11.6</v>
      </c>
      <c r="J145">
        <v>21</v>
      </c>
      <c r="K145" t="s">
        <v>33</v>
      </c>
      <c r="L145">
        <v>0</v>
      </c>
      <c r="M145" t="s">
        <v>34</v>
      </c>
      <c r="N145">
        <v>29</v>
      </c>
      <c r="O145">
        <v>29</v>
      </c>
      <c r="P145">
        <v>1.1000000000000001</v>
      </c>
      <c r="Q145">
        <v>0</v>
      </c>
      <c r="R145">
        <v>16</v>
      </c>
      <c r="S145">
        <v>2</v>
      </c>
      <c r="T145">
        <v>6</v>
      </c>
      <c r="U145">
        <v>1</v>
      </c>
      <c r="V145" t="s">
        <v>35</v>
      </c>
      <c r="W145">
        <v>0</v>
      </c>
      <c r="X145">
        <v>1</v>
      </c>
      <c r="Y145">
        <v>0</v>
      </c>
      <c r="Z145">
        <v>1.5714285714285701</v>
      </c>
      <c r="AA145">
        <v>2.8448275862068901</v>
      </c>
      <c r="AB145">
        <v>5</v>
      </c>
      <c r="AC145">
        <v>2.80217391304347</v>
      </c>
    </row>
    <row r="146" spans="1:29" x14ac:dyDescent="0.35">
      <c r="A146" t="s">
        <v>225</v>
      </c>
      <c r="B146" t="s">
        <v>49</v>
      </c>
      <c r="C146" s="1">
        <v>45710</v>
      </c>
      <c r="D146" t="s">
        <v>50</v>
      </c>
      <c r="E146" s="2">
        <v>0.57291666666666663</v>
      </c>
      <c r="F146" t="s">
        <v>39</v>
      </c>
      <c r="G146">
        <v>39</v>
      </c>
      <c r="H146">
        <v>36</v>
      </c>
      <c r="I146">
        <v>8.1999999999999993</v>
      </c>
      <c r="J146">
        <v>15</v>
      </c>
      <c r="K146" t="s">
        <v>51</v>
      </c>
      <c r="L146">
        <v>0</v>
      </c>
      <c r="M146" t="s">
        <v>69</v>
      </c>
      <c r="N146">
        <v>39</v>
      </c>
      <c r="O146">
        <v>37</v>
      </c>
      <c r="P146">
        <v>5.7</v>
      </c>
      <c r="Q146">
        <v>0</v>
      </c>
      <c r="R146">
        <v>13</v>
      </c>
      <c r="S146">
        <v>2</v>
      </c>
      <c r="T146">
        <v>5</v>
      </c>
      <c r="U146">
        <v>1</v>
      </c>
      <c r="V146" t="s">
        <v>35</v>
      </c>
      <c r="W146">
        <v>1</v>
      </c>
      <c r="X146">
        <v>0.94871794871794801</v>
      </c>
      <c r="Y146">
        <v>1</v>
      </c>
      <c r="Z146">
        <v>2.6</v>
      </c>
      <c r="AA146">
        <v>4.7560975609756104</v>
      </c>
      <c r="AB146">
        <v>3</v>
      </c>
      <c r="AC146">
        <v>3.6937500000000001</v>
      </c>
    </row>
    <row r="147" spans="1:29" x14ac:dyDescent="0.35">
      <c r="A147" t="s">
        <v>226</v>
      </c>
      <c r="B147" t="s">
        <v>72</v>
      </c>
      <c r="C147" s="1">
        <v>45672</v>
      </c>
      <c r="D147" t="s">
        <v>78</v>
      </c>
      <c r="E147" s="2">
        <v>0.3125</v>
      </c>
      <c r="F147" t="s">
        <v>32</v>
      </c>
      <c r="G147">
        <v>65</v>
      </c>
      <c r="H147">
        <v>63</v>
      </c>
      <c r="I147">
        <v>11.6</v>
      </c>
      <c r="J147">
        <v>21</v>
      </c>
      <c r="K147" t="s">
        <v>33</v>
      </c>
      <c r="L147">
        <v>0</v>
      </c>
      <c r="M147" t="s">
        <v>34</v>
      </c>
      <c r="N147">
        <v>19</v>
      </c>
      <c r="O147">
        <v>18</v>
      </c>
      <c r="P147">
        <v>2</v>
      </c>
      <c r="Q147">
        <v>0</v>
      </c>
      <c r="R147">
        <v>7</v>
      </c>
      <c r="S147">
        <v>1</v>
      </c>
      <c r="T147">
        <v>2</v>
      </c>
      <c r="U147">
        <v>0</v>
      </c>
      <c r="V147" t="s">
        <v>47</v>
      </c>
      <c r="W147">
        <v>0</v>
      </c>
      <c r="X147">
        <v>0.94736842105263097</v>
      </c>
      <c r="Y147">
        <v>0</v>
      </c>
      <c r="Z147">
        <v>3.09523809523809</v>
      </c>
      <c r="AA147">
        <v>5.6034482758620596</v>
      </c>
      <c r="AB147">
        <v>2</v>
      </c>
      <c r="AC147">
        <v>2.80217391304347</v>
      </c>
    </row>
    <row r="148" spans="1:29" x14ac:dyDescent="0.35">
      <c r="A148" t="s">
        <v>227</v>
      </c>
      <c r="B148" t="s">
        <v>43</v>
      </c>
      <c r="C148" s="1">
        <v>45711</v>
      </c>
      <c r="D148" t="s">
        <v>31</v>
      </c>
      <c r="E148" s="2">
        <v>0.82291666666666663</v>
      </c>
      <c r="F148" t="s">
        <v>39</v>
      </c>
      <c r="G148">
        <v>61</v>
      </c>
      <c r="H148">
        <v>57</v>
      </c>
      <c r="I148">
        <v>18.399999999999999</v>
      </c>
      <c r="J148">
        <v>32</v>
      </c>
      <c r="K148" t="s">
        <v>46</v>
      </c>
      <c r="L148">
        <v>0</v>
      </c>
      <c r="M148" t="s">
        <v>34</v>
      </c>
      <c r="N148">
        <v>29</v>
      </c>
      <c r="O148">
        <v>23</v>
      </c>
      <c r="P148">
        <v>3.4</v>
      </c>
      <c r="Q148">
        <v>0</v>
      </c>
      <c r="R148">
        <v>19</v>
      </c>
      <c r="S148">
        <v>2</v>
      </c>
      <c r="T148">
        <v>6</v>
      </c>
      <c r="U148">
        <v>1</v>
      </c>
      <c r="V148" t="s">
        <v>41</v>
      </c>
      <c r="W148">
        <v>0</v>
      </c>
      <c r="X148">
        <v>0.79310344827586199</v>
      </c>
      <c r="Y148">
        <v>0</v>
      </c>
      <c r="Z148">
        <v>1.90625</v>
      </c>
      <c r="AA148">
        <v>3.3152173913043401</v>
      </c>
      <c r="AB148">
        <v>4</v>
      </c>
      <c r="AC148">
        <v>8.6013888888888896</v>
      </c>
    </row>
    <row r="149" spans="1:29" x14ac:dyDescent="0.35">
      <c r="A149" t="s">
        <v>228</v>
      </c>
      <c r="B149" t="s">
        <v>102</v>
      </c>
      <c r="C149" s="1">
        <v>45699</v>
      </c>
      <c r="D149" t="s">
        <v>44</v>
      </c>
      <c r="E149" s="2">
        <v>0.33333333333333331</v>
      </c>
      <c r="F149" t="s">
        <v>125</v>
      </c>
      <c r="G149">
        <v>58</v>
      </c>
      <c r="H149">
        <v>57</v>
      </c>
      <c r="I149">
        <v>7.3</v>
      </c>
      <c r="J149">
        <v>13</v>
      </c>
      <c r="K149" t="s">
        <v>66</v>
      </c>
      <c r="L149">
        <v>0</v>
      </c>
      <c r="M149" t="s">
        <v>34</v>
      </c>
      <c r="N149">
        <v>20</v>
      </c>
      <c r="O149">
        <v>20</v>
      </c>
      <c r="P149">
        <v>3.7</v>
      </c>
      <c r="Q149">
        <v>0</v>
      </c>
      <c r="R149">
        <v>8</v>
      </c>
      <c r="S149">
        <v>2</v>
      </c>
      <c r="T149">
        <v>1</v>
      </c>
      <c r="U149">
        <v>0</v>
      </c>
      <c r="V149" t="s">
        <v>47</v>
      </c>
      <c r="W149">
        <v>0</v>
      </c>
      <c r="X149">
        <v>1</v>
      </c>
      <c r="Y149">
        <v>0</v>
      </c>
      <c r="Z149">
        <v>4.4615384615384599</v>
      </c>
      <c r="AA149">
        <v>7.9452054794520501</v>
      </c>
      <c r="AB149">
        <v>1</v>
      </c>
      <c r="AC149">
        <v>4.0518518518518496</v>
      </c>
    </row>
    <row r="150" spans="1:29" x14ac:dyDescent="0.35">
      <c r="A150" t="s">
        <v>229</v>
      </c>
      <c r="B150" t="s">
        <v>60</v>
      </c>
      <c r="C150" s="1">
        <v>45670</v>
      </c>
      <c r="D150" t="s">
        <v>87</v>
      </c>
      <c r="E150" s="2">
        <v>0.66666666666666663</v>
      </c>
      <c r="F150" t="s">
        <v>58</v>
      </c>
      <c r="G150">
        <v>41</v>
      </c>
      <c r="H150">
        <v>40</v>
      </c>
      <c r="I150">
        <v>12.5</v>
      </c>
      <c r="J150">
        <v>22</v>
      </c>
      <c r="K150" t="s">
        <v>51</v>
      </c>
      <c r="L150">
        <v>0</v>
      </c>
      <c r="M150" t="s">
        <v>34</v>
      </c>
      <c r="N150">
        <v>36</v>
      </c>
      <c r="O150">
        <v>34</v>
      </c>
      <c r="P150">
        <v>1.2</v>
      </c>
      <c r="Q150">
        <v>0</v>
      </c>
      <c r="R150">
        <v>16</v>
      </c>
      <c r="S150">
        <v>1</v>
      </c>
      <c r="T150">
        <v>0</v>
      </c>
      <c r="U150">
        <v>0</v>
      </c>
      <c r="V150" t="s">
        <v>35</v>
      </c>
      <c r="W150">
        <v>0</v>
      </c>
      <c r="X150">
        <v>0.94444444444444398</v>
      </c>
      <c r="Y150">
        <v>0</v>
      </c>
      <c r="Z150">
        <v>1.86363636363636</v>
      </c>
      <c r="AA150">
        <v>3.28</v>
      </c>
      <c r="AB150">
        <v>1</v>
      </c>
      <c r="AC150">
        <v>3.4760869565217298</v>
      </c>
    </row>
    <row r="151" spans="1:29" x14ac:dyDescent="0.35">
      <c r="A151" t="s">
        <v>230</v>
      </c>
      <c r="B151" t="s">
        <v>60</v>
      </c>
      <c r="C151" s="1">
        <v>45679</v>
      </c>
      <c r="D151" t="s">
        <v>78</v>
      </c>
      <c r="E151" s="2">
        <v>0.82291666666666663</v>
      </c>
      <c r="F151" t="s">
        <v>125</v>
      </c>
      <c r="G151">
        <v>100</v>
      </c>
      <c r="H151">
        <v>93</v>
      </c>
      <c r="I151">
        <v>12.5</v>
      </c>
      <c r="J151">
        <v>22</v>
      </c>
      <c r="K151" t="s">
        <v>51</v>
      </c>
      <c r="L151">
        <v>0</v>
      </c>
      <c r="M151" t="s">
        <v>34</v>
      </c>
      <c r="N151">
        <v>22</v>
      </c>
      <c r="O151">
        <v>21</v>
      </c>
      <c r="P151">
        <v>5.6</v>
      </c>
      <c r="Q151">
        <v>0</v>
      </c>
      <c r="R151">
        <v>19</v>
      </c>
      <c r="S151">
        <v>1</v>
      </c>
      <c r="T151">
        <v>2</v>
      </c>
      <c r="U151">
        <v>0</v>
      </c>
      <c r="V151" t="s">
        <v>41</v>
      </c>
      <c r="W151">
        <v>0</v>
      </c>
      <c r="X151">
        <v>0.95454545454545403</v>
      </c>
      <c r="Y151">
        <v>1</v>
      </c>
      <c r="Z151">
        <v>4.5454545454545396</v>
      </c>
      <c r="AA151">
        <v>8</v>
      </c>
      <c r="AB151">
        <v>7</v>
      </c>
      <c r="AC151">
        <v>3.4760869565217298</v>
      </c>
    </row>
    <row r="152" spans="1:29" x14ac:dyDescent="0.35">
      <c r="A152" t="s">
        <v>231</v>
      </c>
      <c r="B152" t="s">
        <v>43</v>
      </c>
      <c r="C152" s="1">
        <v>45704</v>
      </c>
      <c r="D152" t="s">
        <v>31</v>
      </c>
      <c r="E152" s="2">
        <v>0.83333333333333337</v>
      </c>
      <c r="F152" t="s">
        <v>68</v>
      </c>
      <c r="G152">
        <v>37</v>
      </c>
      <c r="H152">
        <v>32</v>
      </c>
      <c r="I152">
        <v>18.399999999999999</v>
      </c>
      <c r="J152">
        <v>32</v>
      </c>
      <c r="K152" t="s">
        <v>46</v>
      </c>
      <c r="L152">
        <v>0</v>
      </c>
      <c r="M152" t="s">
        <v>34</v>
      </c>
      <c r="N152">
        <v>25</v>
      </c>
      <c r="O152">
        <v>23</v>
      </c>
      <c r="P152">
        <v>9.4</v>
      </c>
      <c r="Q152">
        <v>0</v>
      </c>
      <c r="R152">
        <v>20</v>
      </c>
      <c r="S152">
        <v>2</v>
      </c>
      <c r="T152">
        <v>6</v>
      </c>
      <c r="U152">
        <v>1</v>
      </c>
      <c r="V152" t="s">
        <v>35</v>
      </c>
      <c r="W152">
        <v>0</v>
      </c>
      <c r="X152">
        <v>0.92</v>
      </c>
      <c r="Y152">
        <v>1</v>
      </c>
      <c r="Z152">
        <v>1.15625</v>
      </c>
      <c r="AA152">
        <v>2.0108695652173898</v>
      </c>
      <c r="AB152">
        <v>5</v>
      </c>
      <c r="AC152">
        <v>8.6013888888888896</v>
      </c>
    </row>
    <row r="153" spans="1:29" x14ac:dyDescent="0.35">
      <c r="A153" t="s">
        <v>232</v>
      </c>
      <c r="B153" t="s">
        <v>30</v>
      </c>
      <c r="C153" s="1">
        <v>45684</v>
      </c>
      <c r="D153" t="s">
        <v>87</v>
      </c>
      <c r="E153" s="2">
        <v>0.625</v>
      </c>
      <c r="F153" t="s">
        <v>55</v>
      </c>
      <c r="G153">
        <v>44</v>
      </c>
      <c r="H153">
        <v>43</v>
      </c>
      <c r="I153">
        <v>10.1</v>
      </c>
      <c r="J153">
        <v>19</v>
      </c>
      <c r="K153" t="s">
        <v>33</v>
      </c>
      <c r="L153">
        <v>0</v>
      </c>
      <c r="M153" t="s">
        <v>34</v>
      </c>
      <c r="N153">
        <v>34</v>
      </c>
      <c r="O153">
        <v>33</v>
      </c>
      <c r="P153">
        <v>0.7</v>
      </c>
      <c r="Q153">
        <v>0</v>
      </c>
      <c r="R153">
        <v>15</v>
      </c>
      <c r="S153">
        <v>1</v>
      </c>
      <c r="T153">
        <v>0</v>
      </c>
      <c r="U153">
        <v>0</v>
      </c>
      <c r="V153" t="s">
        <v>35</v>
      </c>
      <c r="W153">
        <v>0</v>
      </c>
      <c r="X153">
        <v>0.97058823529411697</v>
      </c>
      <c r="Y153">
        <v>0</v>
      </c>
      <c r="Z153">
        <v>2.3157894736842102</v>
      </c>
      <c r="AA153">
        <v>4.3564356435643496</v>
      </c>
      <c r="AB153">
        <v>1</v>
      </c>
      <c r="AC153">
        <v>3.6613636363636299</v>
      </c>
    </row>
    <row r="154" spans="1:29" x14ac:dyDescent="0.35">
      <c r="A154" t="s">
        <v>233</v>
      </c>
      <c r="B154" t="s">
        <v>37</v>
      </c>
      <c r="C154" s="1">
        <v>45714</v>
      </c>
      <c r="D154" t="s">
        <v>78</v>
      </c>
      <c r="E154" s="2">
        <v>0.65625</v>
      </c>
      <c r="F154" t="s">
        <v>32</v>
      </c>
      <c r="G154">
        <v>39</v>
      </c>
      <c r="H154">
        <v>39</v>
      </c>
      <c r="I154">
        <v>9.5</v>
      </c>
      <c r="J154">
        <v>17</v>
      </c>
      <c r="K154" t="s">
        <v>40</v>
      </c>
      <c r="L154">
        <v>0</v>
      </c>
      <c r="M154" t="s">
        <v>34</v>
      </c>
      <c r="N154">
        <v>24</v>
      </c>
      <c r="O154">
        <v>23</v>
      </c>
      <c r="P154">
        <v>6.6</v>
      </c>
      <c r="Q154">
        <v>0</v>
      </c>
      <c r="R154">
        <v>15</v>
      </c>
      <c r="S154">
        <v>2</v>
      </c>
      <c r="T154">
        <v>2</v>
      </c>
      <c r="U154">
        <v>0</v>
      </c>
      <c r="V154" t="s">
        <v>35</v>
      </c>
      <c r="W154">
        <v>0</v>
      </c>
      <c r="X154">
        <v>0.95833333333333304</v>
      </c>
      <c r="Y154">
        <v>1</v>
      </c>
      <c r="Z154">
        <v>2.2941176470588198</v>
      </c>
      <c r="AA154">
        <v>4.1052631578947301</v>
      </c>
      <c r="AB154">
        <v>0</v>
      </c>
      <c r="AC154">
        <v>3.8470588235294101</v>
      </c>
    </row>
    <row r="155" spans="1:29" x14ac:dyDescent="0.35">
      <c r="A155" t="s">
        <v>234</v>
      </c>
      <c r="B155" t="s">
        <v>102</v>
      </c>
      <c r="C155" s="1">
        <v>45696</v>
      </c>
      <c r="D155" t="s">
        <v>50</v>
      </c>
      <c r="E155" s="2">
        <v>0.41666666666666669</v>
      </c>
      <c r="F155" t="s">
        <v>61</v>
      </c>
      <c r="G155">
        <v>35</v>
      </c>
      <c r="H155">
        <v>31</v>
      </c>
      <c r="I155">
        <v>7.3</v>
      </c>
      <c r="J155">
        <v>13</v>
      </c>
      <c r="K155" t="s">
        <v>66</v>
      </c>
      <c r="L155">
        <v>0</v>
      </c>
      <c r="M155" t="s">
        <v>52</v>
      </c>
      <c r="N155">
        <v>39</v>
      </c>
      <c r="O155">
        <v>37</v>
      </c>
      <c r="P155">
        <v>1.3</v>
      </c>
      <c r="Q155">
        <v>0</v>
      </c>
      <c r="R155">
        <v>10</v>
      </c>
      <c r="S155">
        <v>2</v>
      </c>
      <c r="T155">
        <v>5</v>
      </c>
      <c r="U155">
        <v>1</v>
      </c>
      <c r="V155" t="s">
        <v>35</v>
      </c>
      <c r="W155">
        <v>1</v>
      </c>
      <c r="X155">
        <v>0.94871794871794801</v>
      </c>
      <c r="Y155">
        <v>0</v>
      </c>
      <c r="Z155">
        <v>2.6923076923076898</v>
      </c>
      <c r="AA155">
        <v>4.7945205479451998</v>
      </c>
      <c r="AB155">
        <v>4</v>
      </c>
      <c r="AC155">
        <v>4.0518518518518496</v>
      </c>
    </row>
    <row r="156" spans="1:29" x14ac:dyDescent="0.35">
      <c r="A156" t="s">
        <v>235</v>
      </c>
      <c r="B156" t="s">
        <v>60</v>
      </c>
      <c r="C156" s="1">
        <v>45701</v>
      </c>
      <c r="D156" t="s">
        <v>54</v>
      </c>
      <c r="E156" s="2">
        <v>0.72916666666666663</v>
      </c>
      <c r="F156" t="s">
        <v>32</v>
      </c>
      <c r="G156">
        <v>93</v>
      </c>
      <c r="H156">
        <v>79</v>
      </c>
      <c r="I156">
        <v>12.5</v>
      </c>
      <c r="J156">
        <v>22</v>
      </c>
      <c r="K156" t="s">
        <v>51</v>
      </c>
      <c r="L156">
        <v>0</v>
      </c>
      <c r="M156" t="s">
        <v>34</v>
      </c>
      <c r="N156">
        <v>32</v>
      </c>
      <c r="O156">
        <v>32</v>
      </c>
      <c r="P156">
        <v>9.5</v>
      </c>
      <c r="Q156">
        <v>0</v>
      </c>
      <c r="R156">
        <v>17</v>
      </c>
      <c r="S156">
        <v>2</v>
      </c>
      <c r="T156">
        <v>3</v>
      </c>
      <c r="U156">
        <v>0</v>
      </c>
      <c r="V156" t="s">
        <v>41</v>
      </c>
      <c r="W156">
        <v>0</v>
      </c>
      <c r="X156">
        <v>1</v>
      </c>
      <c r="Y156">
        <v>1</v>
      </c>
      <c r="Z156">
        <v>4.2272727272727204</v>
      </c>
      <c r="AA156">
        <v>7.44</v>
      </c>
      <c r="AB156">
        <v>14</v>
      </c>
      <c r="AC156">
        <v>3.4760869565217298</v>
      </c>
    </row>
    <row r="157" spans="1:29" x14ac:dyDescent="0.35">
      <c r="A157" t="s">
        <v>236</v>
      </c>
      <c r="B157" t="s">
        <v>43</v>
      </c>
      <c r="C157" s="1">
        <v>45691</v>
      </c>
      <c r="D157" t="s">
        <v>87</v>
      </c>
      <c r="E157" s="2">
        <v>0.60416666666666663</v>
      </c>
      <c r="F157" t="s">
        <v>110</v>
      </c>
      <c r="G157">
        <v>61</v>
      </c>
      <c r="H157">
        <v>58</v>
      </c>
      <c r="I157">
        <v>18.399999999999999</v>
      </c>
      <c r="J157">
        <v>32</v>
      </c>
      <c r="K157" t="s">
        <v>46</v>
      </c>
      <c r="L157">
        <v>0</v>
      </c>
      <c r="M157" t="s">
        <v>34</v>
      </c>
      <c r="N157">
        <v>38</v>
      </c>
      <c r="O157">
        <v>35</v>
      </c>
      <c r="P157">
        <v>3.8</v>
      </c>
      <c r="Q157">
        <v>0</v>
      </c>
      <c r="R157">
        <v>14</v>
      </c>
      <c r="S157">
        <v>2</v>
      </c>
      <c r="T157">
        <v>0</v>
      </c>
      <c r="U157">
        <v>0</v>
      </c>
      <c r="V157" t="s">
        <v>35</v>
      </c>
      <c r="W157">
        <v>0</v>
      </c>
      <c r="X157">
        <v>0.92105263157894701</v>
      </c>
      <c r="Y157">
        <v>0</v>
      </c>
      <c r="Z157">
        <v>1.90625</v>
      </c>
      <c r="AA157">
        <v>3.3152173913043401</v>
      </c>
      <c r="AB157">
        <v>3</v>
      </c>
      <c r="AC157">
        <v>8.6013888888888896</v>
      </c>
    </row>
    <row r="158" spans="1:29" x14ac:dyDescent="0.35">
      <c r="A158" t="s">
        <v>237</v>
      </c>
      <c r="B158" t="s">
        <v>72</v>
      </c>
      <c r="C158" s="1">
        <v>45713</v>
      </c>
      <c r="D158" t="s">
        <v>44</v>
      </c>
      <c r="E158" s="2">
        <v>0.25</v>
      </c>
      <c r="F158" t="s">
        <v>68</v>
      </c>
      <c r="G158">
        <v>43</v>
      </c>
      <c r="H158">
        <v>41</v>
      </c>
      <c r="I158">
        <v>11.6</v>
      </c>
      <c r="J158">
        <v>21</v>
      </c>
      <c r="K158" t="s">
        <v>33</v>
      </c>
      <c r="L158">
        <v>0</v>
      </c>
      <c r="M158" t="s">
        <v>34</v>
      </c>
      <c r="N158">
        <v>37</v>
      </c>
      <c r="O158">
        <v>37</v>
      </c>
      <c r="P158">
        <v>2.8</v>
      </c>
      <c r="Q158">
        <v>0</v>
      </c>
      <c r="R158">
        <v>6</v>
      </c>
      <c r="S158">
        <v>2</v>
      </c>
      <c r="T158">
        <v>1</v>
      </c>
      <c r="U158">
        <v>0</v>
      </c>
      <c r="V158" t="s">
        <v>35</v>
      </c>
      <c r="W158">
        <v>0</v>
      </c>
      <c r="X158">
        <v>1</v>
      </c>
      <c r="Y158">
        <v>0</v>
      </c>
      <c r="Z158">
        <v>2.0476190476190399</v>
      </c>
      <c r="AA158">
        <v>3.7068965517241299</v>
      </c>
      <c r="AB158">
        <v>2</v>
      </c>
      <c r="AC158">
        <v>2.80217391304347</v>
      </c>
    </row>
    <row r="159" spans="1:29" x14ac:dyDescent="0.35">
      <c r="A159" t="s">
        <v>238</v>
      </c>
      <c r="B159" t="s">
        <v>65</v>
      </c>
      <c r="C159" s="1">
        <v>45672</v>
      </c>
      <c r="D159" t="s">
        <v>78</v>
      </c>
      <c r="E159" s="2">
        <v>0.20833333333333334</v>
      </c>
      <c r="F159" t="s">
        <v>32</v>
      </c>
      <c r="G159">
        <v>36</v>
      </c>
      <c r="H159">
        <v>36</v>
      </c>
      <c r="I159">
        <v>6.8</v>
      </c>
      <c r="J159">
        <v>12</v>
      </c>
      <c r="K159" t="s">
        <v>66</v>
      </c>
      <c r="L159">
        <v>0</v>
      </c>
      <c r="M159" t="s">
        <v>34</v>
      </c>
      <c r="N159">
        <v>39</v>
      </c>
      <c r="O159">
        <v>37</v>
      </c>
      <c r="P159">
        <v>2.8</v>
      </c>
      <c r="Q159">
        <v>0</v>
      </c>
      <c r="R159">
        <v>5</v>
      </c>
      <c r="S159">
        <v>1</v>
      </c>
      <c r="T159">
        <v>2</v>
      </c>
      <c r="U159">
        <v>0</v>
      </c>
      <c r="V159" t="s">
        <v>35</v>
      </c>
      <c r="W159">
        <v>0</v>
      </c>
      <c r="X159">
        <v>0.94871794871794801</v>
      </c>
      <c r="Y159">
        <v>0</v>
      </c>
      <c r="Z159">
        <v>3</v>
      </c>
      <c r="AA159">
        <v>5.2941176470588198</v>
      </c>
      <c r="AB159">
        <v>0</v>
      </c>
      <c r="AC159">
        <v>2.7611111111111102</v>
      </c>
    </row>
    <row r="160" spans="1:29" x14ac:dyDescent="0.35">
      <c r="A160" t="s">
        <v>239</v>
      </c>
      <c r="B160" t="s">
        <v>60</v>
      </c>
      <c r="C160" s="1">
        <v>45673</v>
      </c>
      <c r="D160" t="s">
        <v>54</v>
      </c>
      <c r="E160" s="2">
        <v>0.70833333333333337</v>
      </c>
      <c r="F160" t="s">
        <v>100</v>
      </c>
      <c r="G160">
        <v>101</v>
      </c>
      <c r="H160">
        <v>86</v>
      </c>
      <c r="I160">
        <v>12.5</v>
      </c>
      <c r="J160">
        <v>22</v>
      </c>
      <c r="K160" t="s">
        <v>51</v>
      </c>
      <c r="L160">
        <v>0</v>
      </c>
      <c r="M160" t="s">
        <v>34</v>
      </c>
      <c r="N160">
        <v>29</v>
      </c>
      <c r="O160">
        <v>28</v>
      </c>
      <c r="P160">
        <v>4.4000000000000004</v>
      </c>
      <c r="Q160">
        <v>0</v>
      </c>
      <c r="R160">
        <v>17</v>
      </c>
      <c r="S160">
        <v>1</v>
      </c>
      <c r="T160">
        <v>3</v>
      </c>
      <c r="U160">
        <v>0</v>
      </c>
      <c r="V160" t="s">
        <v>41</v>
      </c>
      <c r="W160">
        <v>0</v>
      </c>
      <c r="X160">
        <v>0.96551724137931005</v>
      </c>
      <c r="Y160">
        <v>0</v>
      </c>
      <c r="Z160">
        <v>4.5909090909090899</v>
      </c>
      <c r="AA160">
        <v>8.08</v>
      </c>
      <c r="AB160">
        <v>15</v>
      </c>
      <c r="AC160">
        <v>3.4760869565217298</v>
      </c>
    </row>
    <row r="161" spans="1:29" x14ac:dyDescent="0.35">
      <c r="A161" t="s">
        <v>240</v>
      </c>
      <c r="B161" t="s">
        <v>60</v>
      </c>
      <c r="C161" s="1">
        <v>45663</v>
      </c>
      <c r="D161" t="s">
        <v>87</v>
      </c>
      <c r="E161" s="2">
        <v>0.71875</v>
      </c>
      <c r="F161" t="s">
        <v>32</v>
      </c>
      <c r="G161">
        <v>75</v>
      </c>
      <c r="H161">
        <v>69</v>
      </c>
      <c r="I161">
        <v>12.5</v>
      </c>
      <c r="J161">
        <v>22</v>
      </c>
      <c r="K161" t="s">
        <v>51</v>
      </c>
      <c r="L161">
        <v>0</v>
      </c>
      <c r="M161" t="s">
        <v>34</v>
      </c>
      <c r="N161">
        <v>38</v>
      </c>
      <c r="O161">
        <v>35</v>
      </c>
      <c r="P161">
        <v>5.9</v>
      </c>
      <c r="Q161">
        <v>0</v>
      </c>
      <c r="R161">
        <v>17</v>
      </c>
      <c r="S161">
        <v>1</v>
      </c>
      <c r="T161">
        <v>0</v>
      </c>
      <c r="U161">
        <v>0</v>
      </c>
      <c r="V161" t="s">
        <v>41</v>
      </c>
      <c r="W161">
        <v>0</v>
      </c>
      <c r="X161">
        <v>0.92105263157894701</v>
      </c>
      <c r="Y161">
        <v>1</v>
      </c>
      <c r="Z161">
        <v>3.4090909090908998</v>
      </c>
      <c r="AA161">
        <v>6</v>
      </c>
      <c r="AB161">
        <v>6</v>
      </c>
      <c r="AC161">
        <v>3.4760869565217298</v>
      </c>
    </row>
    <row r="162" spans="1:29" x14ac:dyDescent="0.35">
      <c r="A162" t="s">
        <v>241</v>
      </c>
      <c r="B162" t="s">
        <v>106</v>
      </c>
      <c r="C162" s="1">
        <v>45717</v>
      </c>
      <c r="D162" t="s">
        <v>50</v>
      </c>
      <c r="E162" s="2">
        <v>0.38541666666666669</v>
      </c>
      <c r="F162" t="s">
        <v>39</v>
      </c>
      <c r="G162">
        <v>57</v>
      </c>
      <c r="H162">
        <v>49</v>
      </c>
      <c r="I162">
        <v>15</v>
      </c>
      <c r="J162">
        <v>28</v>
      </c>
      <c r="K162" t="s">
        <v>40</v>
      </c>
      <c r="L162">
        <v>0</v>
      </c>
      <c r="M162" t="s">
        <v>34</v>
      </c>
      <c r="N162">
        <v>21</v>
      </c>
      <c r="O162">
        <v>20</v>
      </c>
      <c r="P162">
        <v>10.6</v>
      </c>
      <c r="Q162">
        <v>0</v>
      </c>
      <c r="R162">
        <v>9</v>
      </c>
      <c r="S162">
        <v>3</v>
      </c>
      <c r="T162">
        <v>5</v>
      </c>
      <c r="U162">
        <v>1</v>
      </c>
      <c r="V162" t="s">
        <v>47</v>
      </c>
      <c r="W162">
        <v>0</v>
      </c>
      <c r="X162">
        <v>0.952380952380952</v>
      </c>
      <c r="Y162">
        <v>1</v>
      </c>
      <c r="Z162">
        <v>2.0357142857142798</v>
      </c>
      <c r="AA162">
        <v>3.8</v>
      </c>
      <c r="AB162">
        <v>8</v>
      </c>
      <c r="AC162">
        <v>9.4749999999999996</v>
      </c>
    </row>
    <row r="163" spans="1:29" x14ac:dyDescent="0.35">
      <c r="A163" t="s">
        <v>242</v>
      </c>
      <c r="B163" t="s">
        <v>60</v>
      </c>
      <c r="C163" s="1">
        <v>45690</v>
      </c>
      <c r="D163" t="s">
        <v>31</v>
      </c>
      <c r="E163" s="2">
        <v>0.30208333333333331</v>
      </c>
      <c r="F163" t="s">
        <v>39</v>
      </c>
      <c r="G163">
        <v>57</v>
      </c>
      <c r="H163">
        <v>54</v>
      </c>
      <c r="I163">
        <v>12.5</v>
      </c>
      <c r="J163">
        <v>22</v>
      </c>
      <c r="K163" t="s">
        <v>51</v>
      </c>
      <c r="L163">
        <v>0</v>
      </c>
      <c r="M163" t="s">
        <v>34</v>
      </c>
      <c r="N163">
        <v>22</v>
      </c>
      <c r="O163">
        <v>21</v>
      </c>
      <c r="P163">
        <v>2.2999999999999998</v>
      </c>
      <c r="Q163">
        <v>0</v>
      </c>
      <c r="R163">
        <v>7</v>
      </c>
      <c r="S163">
        <v>2</v>
      </c>
      <c r="T163">
        <v>6</v>
      </c>
      <c r="U163">
        <v>1</v>
      </c>
      <c r="V163" t="s">
        <v>47</v>
      </c>
      <c r="W163">
        <v>0</v>
      </c>
      <c r="X163">
        <v>0.95454545454545403</v>
      </c>
      <c r="Y163">
        <v>0</v>
      </c>
      <c r="Z163">
        <v>2.5909090909090899</v>
      </c>
      <c r="AA163">
        <v>4.5599999999999996</v>
      </c>
      <c r="AB163">
        <v>3</v>
      </c>
      <c r="AC163">
        <v>3.4760869565217298</v>
      </c>
    </row>
    <row r="164" spans="1:29" x14ac:dyDescent="0.35">
      <c r="A164" t="s">
        <v>243</v>
      </c>
      <c r="B164" t="s">
        <v>106</v>
      </c>
      <c r="C164" s="1">
        <v>45683</v>
      </c>
      <c r="D164" t="s">
        <v>31</v>
      </c>
      <c r="E164" s="2">
        <v>0.5</v>
      </c>
      <c r="F164" t="s">
        <v>63</v>
      </c>
      <c r="G164">
        <v>40</v>
      </c>
      <c r="H164">
        <v>35</v>
      </c>
      <c r="I164">
        <v>15</v>
      </c>
      <c r="J164">
        <v>28</v>
      </c>
      <c r="K164" t="s">
        <v>40</v>
      </c>
      <c r="L164">
        <v>1</v>
      </c>
      <c r="M164" t="s">
        <v>34</v>
      </c>
      <c r="N164">
        <v>19</v>
      </c>
      <c r="O164">
        <v>16</v>
      </c>
      <c r="P164">
        <v>20</v>
      </c>
      <c r="Q164">
        <v>0</v>
      </c>
      <c r="R164">
        <v>12</v>
      </c>
      <c r="S164">
        <v>1</v>
      </c>
      <c r="T164">
        <v>6</v>
      </c>
      <c r="U164">
        <v>1</v>
      </c>
      <c r="V164" t="s">
        <v>35</v>
      </c>
      <c r="W164">
        <v>0</v>
      </c>
      <c r="X164">
        <v>0.84210526315789402</v>
      </c>
      <c r="Y164">
        <v>1</v>
      </c>
      <c r="Z164">
        <v>1.4285714285714199</v>
      </c>
      <c r="AA164">
        <v>2.6666666666666599</v>
      </c>
      <c r="AB164">
        <v>5</v>
      </c>
      <c r="AC164">
        <v>9.4749999999999996</v>
      </c>
    </row>
    <row r="165" spans="1:29" x14ac:dyDescent="0.35">
      <c r="A165" t="s">
        <v>244</v>
      </c>
      <c r="B165" t="s">
        <v>43</v>
      </c>
      <c r="C165" s="1">
        <v>45686</v>
      </c>
      <c r="D165" t="s">
        <v>78</v>
      </c>
      <c r="E165" s="2">
        <v>0.42708333333333331</v>
      </c>
      <c r="F165" t="s">
        <v>80</v>
      </c>
      <c r="G165">
        <v>55</v>
      </c>
      <c r="H165">
        <v>51</v>
      </c>
      <c r="I165">
        <v>18.399999999999999</v>
      </c>
      <c r="J165">
        <v>32</v>
      </c>
      <c r="K165" t="s">
        <v>46</v>
      </c>
      <c r="L165">
        <v>0</v>
      </c>
      <c r="M165" t="s">
        <v>34</v>
      </c>
      <c r="N165">
        <v>37</v>
      </c>
      <c r="O165">
        <v>35</v>
      </c>
      <c r="P165">
        <v>8.8000000000000007</v>
      </c>
      <c r="Q165">
        <v>0</v>
      </c>
      <c r="R165">
        <v>10</v>
      </c>
      <c r="S165">
        <v>1</v>
      </c>
      <c r="T165">
        <v>2</v>
      </c>
      <c r="U165">
        <v>0</v>
      </c>
      <c r="V165" t="s">
        <v>35</v>
      </c>
      <c r="W165">
        <v>0</v>
      </c>
      <c r="X165">
        <v>0.94594594594594505</v>
      </c>
      <c r="Y165">
        <v>1</v>
      </c>
      <c r="Z165">
        <v>1.71875</v>
      </c>
      <c r="AA165">
        <v>2.9891304347826</v>
      </c>
      <c r="AB165">
        <v>4</v>
      </c>
      <c r="AC165">
        <v>8.6013888888888896</v>
      </c>
    </row>
    <row r="166" spans="1:29" x14ac:dyDescent="0.35">
      <c r="A166" t="s">
        <v>245</v>
      </c>
      <c r="B166" t="s">
        <v>102</v>
      </c>
      <c r="C166" s="1">
        <v>45698</v>
      </c>
      <c r="D166" t="s">
        <v>87</v>
      </c>
      <c r="E166" s="2">
        <v>0.82291666666666663</v>
      </c>
      <c r="F166" t="s">
        <v>107</v>
      </c>
      <c r="G166">
        <v>40</v>
      </c>
      <c r="H166">
        <v>34</v>
      </c>
      <c r="I166">
        <v>7.3</v>
      </c>
      <c r="J166">
        <v>13</v>
      </c>
      <c r="K166" t="s">
        <v>66</v>
      </c>
      <c r="L166">
        <v>0</v>
      </c>
      <c r="M166" t="s">
        <v>34</v>
      </c>
      <c r="N166">
        <v>30</v>
      </c>
      <c r="O166">
        <v>29</v>
      </c>
      <c r="P166">
        <v>0.9</v>
      </c>
      <c r="Q166">
        <v>0</v>
      </c>
      <c r="R166">
        <v>19</v>
      </c>
      <c r="S166">
        <v>2</v>
      </c>
      <c r="T166">
        <v>0</v>
      </c>
      <c r="U166">
        <v>0</v>
      </c>
      <c r="V166" t="s">
        <v>41</v>
      </c>
      <c r="W166">
        <v>0</v>
      </c>
      <c r="X166">
        <v>0.96666666666666601</v>
      </c>
      <c r="Y166">
        <v>0</v>
      </c>
      <c r="Z166">
        <v>3.07692307692307</v>
      </c>
      <c r="AA166">
        <v>5.4794520547945202</v>
      </c>
      <c r="AB166">
        <v>6</v>
      </c>
      <c r="AC166">
        <v>4.0518518518518496</v>
      </c>
    </row>
    <row r="167" spans="1:29" x14ac:dyDescent="0.35">
      <c r="A167" t="s">
        <v>246</v>
      </c>
      <c r="B167" t="s">
        <v>43</v>
      </c>
      <c r="C167" s="1">
        <v>45708</v>
      </c>
      <c r="D167" t="s">
        <v>54</v>
      </c>
      <c r="E167" s="2">
        <v>0.67708333333333337</v>
      </c>
      <c r="F167" t="s">
        <v>110</v>
      </c>
      <c r="G167">
        <v>64</v>
      </c>
      <c r="H167">
        <v>61</v>
      </c>
      <c r="I167">
        <v>18.399999999999999</v>
      </c>
      <c r="J167">
        <v>32</v>
      </c>
      <c r="K167" t="s">
        <v>46</v>
      </c>
      <c r="L167">
        <v>0</v>
      </c>
      <c r="M167" t="s">
        <v>34</v>
      </c>
      <c r="N167">
        <v>30</v>
      </c>
      <c r="O167">
        <v>26</v>
      </c>
      <c r="P167">
        <v>18.100000000000001</v>
      </c>
      <c r="Q167">
        <v>0</v>
      </c>
      <c r="R167">
        <v>16</v>
      </c>
      <c r="S167">
        <v>2</v>
      </c>
      <c r="T167">
        <v>3</v>
      </c>
      <c r="U167">
        <v>0</v>
      </c>
      <c r="V167" t="s">
        <v>35</v>
      </c>
      <c r="W167">
        <v>0</v>
      </c>
      <c r="X167">
        <v>0.86666666666666603</v>
      </c>
      <c r="Y167">
        <v>1</v>
      </c>
      <c r="Z167">
        <v>2</v>
      </c>
      <c r="AA167">
        <v>3.4782608695652102</v>
      </c>
      <c r="AB167">
        <v>3</v>
      </c>
      <c r="AC167">
        <v>8.6013888888888896</v>
      </c>
    </row>
    <row r="168" spans="1:29" x14ac:dyDescent="0.35">
      <c r="A168" t="s">
        <v>247</v>
      </c>
      <c r="B168" t="s">
        <v>37</v>
      </c>
      <c r="C168" s="1">
        <v>45667</v>
      </c>
      <c r="D168" t="s">
        <v>38</v>
      </c>
      <c r="E168" s="2">
        <v>0.34375</v>
      </c>
      <c r="F168" t="s">
        <v>68</v>
      </c>
      <c r="G168">
        <v>78</v>
      </c>
      <c r="H168">
        <v>71</v>
      </c>
      <c r="I168">
        <v>9.5</v>
      </c>
      <c r="J168">
        <v>17</v>
      </c>
      <c r="K168" t="s">
        <v>40</v>
      </c>
      <c r="L168">
        <v>0</v>
      </c>
      <c r="M168" t="s">
        <v>34</v>
      </c>
      <c r="N168">
        <v>35</v>
      </c>
      <c r="O168">
        <v>33</v>
      </c>
      <c r="P168">
        <v>0.6</v>
      </c>
      <c r="Q168">
        <v>0</v>
      </c>
      <c r="R168">
        <v>8</v>
      </c>
      <c r="S168">
        <v>1</v>
      </c>
      <c r="T168">
        <v>4</v>
      </c>
      <c r="U168">
        <v>0</v>
      </c>
      <c r="V168" t="s">
        <v>47</v>
      </c>
      <c r="W168">
        <v>0</v>
      </c>
      <c r="X168">
        <v>0.94285714285714195</v>
      </c>
      <c r="Y168">
        <v>0</v>
      </c>
      <c r="Z168">
        <v>4.5882352941176396</v>
      </c>
      <c r="AA168">
        <v>8.2105263157894708</v>
      </c>
      <c r="AB168">
        <v>7</v>
      </c>
      <c r="AC168">
        <v>3.8470588235294101</v>
      </c>
    </row>
    <row r="169" spans="1:29" x14ac:dyDescent="0.35">
      <c r="A169" t="s">
        <v>248</v>
      </c>
      <c r="B169" t="s">
        <v>43</v>
      </c>
      <c r="C169" s="1">
        <v>45693</v>
      </c>
      <c r="D169" t="s">
        <v>78</v>
      </c>
      <c r="E169" s="2">
        <v>0.29166666666666669</v>
      </c>
      <c r="F169" t="s">
        <v>80</v>
      </c>
      <c r="G169">
        <v>96</v>
      </c>
      <c r="H169">
        <v>87</v>
      </c>
      <c r="I169">
        <v>18.399999999999999</v>
      </c>
      <c r="J169">
        <v>32</v>
      </c>
      <c r="K169" t="s">
        <v>46</v>
      </c>
      <c r="L169">
        <v>0</v>
      </c>
      <c r="M169" t="s">
        <v>34</v>
      </c>
      <c r="N169">
        <v>32</v>
      </c>
      <c r="O169">
        <v>27</v>
      </c>
      <c r="P169">
        <v>5.2</v>
      </c>
      <c r="Q169">
        <v>0</v>
      </c>
      <c r="R169">
        <v>7</v>
      </c>
      <c r="S169">
        <v>2</v>
      </c>
      <c r="T169">
        <v>2</v>
      </c>
      <c r="U169">
        <v>0</v>
      </c>
      <c r="V169" t="s">
        <v>47</v>
      </c>
      <c r="W169">
        <v>0</v>
      </c>
      <c r="X169">
        <v>0.84375</v>
      </c>
      <c r="Y169">
        <v>1</v>
      </c>
      <c r="Z169">
        <v>3</v>
      </c>
      <c r="AA169">
        <v>5.2173913043478199</v>
      </c>
      <c r="AB169">
        <v>9</v>
      </c>
      <c r="AC169">
        <v>8.6013888888888896</v>
      </c>
    </row>
    <row r="170" spans="1:29" x14ac:dyDescent="0.35">
      <c r="A170" t="s">
        <v>249</v>
      </c>
      <c r="B170" t="s">
        <v>106</v>
      </c>
      <c r="C170" s="1">
        <v>45705</v>
      </c>
      <c r="D170" t="s">
        <v>87</v>
      </c>
      <c r="E170" s="2">
        <v>0.73958333333333337</v>
      </c>
      <c r="F170" t="s">
        <v>250</v>
      </c>
      <c r="G170">
        <v>100</v>
      </c>
      <c r="H170">
        <v>91</v>
      </c>
      <c r="I170">
        <v>15</v>
      </c>
      <c r="J170">
        <v>28</v>
      </c>
      <c r="K170" t="s">
        <v>40</v>
      </c>
      <c r="L170">
        <v>0</v>
      </c>
      <c r="M170" t="s">
        <v>34</v>
      </c>
      <c r="N170">
        <v>32</v>
      </c>
      <c r="O170">
        <v>27</v>
      </c>
      <c r="P170">
        <v>8.8000000000000007</v>
      </c>
      <c r="Q170">
        <v>0</v>
      </c>
      <c r="R170">
        <v>17</v>
      </c>
      <c r="S170">
        <v>2</v>
      </c>
      <c r="T170">
        <v>0</v>
      </c>
      <c r="U170">
        <v>0</v>
      </c>
      <c r="V170" t="s">
        <v>41</v>
      </c>
      <c r="W170">
        <v>0</v>
      </c>
      <c r="X170">
        <v>0.84375</v>
      </c>
      <c r="Y170">
        <v>1</v>
      </c>
      <c r="Z170">
        <v>3.5714285714285698</v>
      </c>
      <c r="AA170">
        <v>6.6666666666666599</v>
      </c>
      <c r="AB170">
        <v>9</v>
      </c>
      <c r="AC170">
        <v>9.4749999999999996</v>
      </c>
    </row>
    <row r="171" spans="1:29" x14ac:dyDescent="0.35">
      <c r="A171" t="s">
        <v>251</v>
      </c>
      <c r="B171" t="s">
        <v>57</v>
      </c>
      <c r="C171" s="1">
        <v>45716</v>
      </c>
      <c r="D171" t="s">
        <v>38</v>
      </c>
      <c r="E171" s="2">
        <v>0.60416666666666663</v>
      </c>
      <c r="F171" t="s">
        <v>55</v>
      </c>
      <c r="G171">
        <v>54</v>
      </c>
      <c r="H171">
        <v>53</v>
      </c>
      <c r="I171">
        <v>14.2</v>
      </c>
      <c r="J171">
        <v>25</v>
      </c>
      <c r="K171" t="s">
        <v>46</v>
      </c>
      <c r="L171">
        <v>0</v>
      </c>
      <c r="M171" t="s">
        <v>34</v>
      </c>
      <c r="N171">
        <v>29</v>
      </c>
      <c r="O171">
        <v>26</v>
      </c>
      <c r="P171">
        <v>8.9</v>
      </c>
      <c r="Q171">
        <v>0</v>
      </c>
      <c r="R171">
        <v>14</v>
      </c>
      <c r="S171">
        <v>2</v>
      </c>
      <c r="T171">
        <v>4</v>
      </c>
      <c r="U171">
        <v>0</v>
      </c>
      <c r="V171" t="s">
        <v>35</v>
      </c>
      <c r="W171">
        <v>0</v>
      </c>
      <c r="X171">
        <v>0.89655172413793105</v>
      </c>
      <c r="Y171">
        <v>1</v>
      </c>
      <c r="Z171">
        <v>2.16</v>
      </c>
      <c r="AA171">
        <v>3.8028169014084501</v>
      </c>
      <c r="AB171">
        <v>1</v>
      </c>
      <c r="AC171">
        <v>8.3255319148936096</v>
      </c>
    </row>
    <row r="172" spans="1:29" x14ac:dyDescent="0.35">
      <c r="A172" t="s">
        <v>252</v>
      </c>
      <c r="B172" t="s">
        <v>102</v>
      </c>
      <c r="C172" s="1">
        <v>45702</v>
      </c>
      <c r="D172" t="s">
        <v>38</v>
      </c>
      <c r="E172" s="2">
        <v>0.57291666666666663</v>
      </c>
      <c r="F172" t="s">
        <v>32</v>
      </c>
      <c r="G172">
        <v>35</v>
      </c>
      <c r="H172">
        <v>31</v>
      </c>
      <c r="I172">
        <v>7.3</v>
      </c>
      <c r="J172">
        <v>13</v>
      </c>
      <c r="K172" t="s">
        <v>66</v>
      </c>
      <c r="L172">
        <v>0</v>
      </c>
      <c r="M172" t="s">
        <v>34</v>
      </c>
      <c r="N172">
        <v>28</v>
      </c>
      <c r="O172">
        <v>26</v>
      </c>
      <c r="P172">
        <v>3.1</v>
      </c>
      <c r="Q172">
        <v>1</v>
      </c>
      <c r="R172">
        <v>13</v>
      </c>
      <c r="S172">
        <v>2</v>
      </c>
      <c r="T172">
        <v>4</v>
      </c>
      <c r="U172">
        <v>0</v>
      </c>
      <c r="V172" t="s">
        <v>35</v>
      </c>
      <c r="W172">
        <v>0</v>
      </c>
      <c r="X172">
        <v>0.92857142857142805</v>
      </c>
      <c r="Y172">
        <v>0</v>
      </c>
      <c r="Z172">
        <v>2.6923076923076898</v>
      </c>
      <c r="AA172">
        <v>4.7945205479451998</v>
      </c>
      <c r="AB172">
        <v>4</v>
      </c>
      <c r="AC172">
        <v>4.0518518518518496</v>
      </c>
    </row>
    <row r="173" spans="1:29" x14ac:dyDescent="0.35">
      <c r="A173" t="s">
        <v>253</v>
      </c>
      <c r="B173" t="s">
        <v>106</v>
      </c>
      <c r="C173" s="1">
        <v>45707</v>
      </c>
      <c r="D173" t="s">
        <v>78</v>
      </c>
      <c r="E173" s="2">
        <v>0.75</v>
      </c>
      <c r="F173" t="s">
        <v>55</v>
      </c>
      <c r="G173">
        <v>121</v>
      </c>
      <c r="H173">
        <v>111</v>
      </c>
      <c r="I173">
        <v>15</v>
      </c>
      <c r="J173">
        <v>28</v>
      </c>
      <c r="K173" t="s">
        <v>40</v>
      </c>
      <c r="L173">
        <v>0</v>
      </c>
      <c r="M173" t="s">
        <v>34</v>
      </c>
      <c r="N173">
        <v>25</v>
      </c>
      <c r="O173">
        <v>21</v>
      </c>
      <c r="P173">
        <v>9.1</v>
      </c>
      <c r="Q173">
        <v>1</v>
      </c>
      <c r="R173">
        <v>18</v>
      </c>
      <c r="S173">
        <v>2</v>
      </c>
      <c r="T173">
        <v>2</v>
      </c>
      <c r="U173">
        <v>0</v>
      </c>
      <c r="V173" t="s">
        <v>41</v>
      </c>
      <c r="W173">
        <v>0</v>
      </c>
      <c r="X173">
        <v>0.84</v>
      </c>
      <c r="Y173">
        <v>1</v>
      </c>
      <c r="Z173">
        <v>4.3214285714285703</v>
      </c>
      <c r="AA173">
        <v>8.0666666666666593</v>
      </c>
      <c r="AB173">
        <v>10</v>
      </c>
      <c r="AC173">
        <v>9.4749999999999996</v>
      </c>
    </row>
    <row r="174" spans="1:29" x14ac:dyDescent="0.35">
      <c r="A174" t="s">
        <v>254</v>
      </c>
      <c r="B174" t="s">
        <v>102</v>
      </c>
      <c r="C174" s="1">
        <v>45707</v>
      </c>
      <c r="D174" t="s">
        <v>78</v>
      </c>
      <c r="E174" s="2">
        <v>0.72916666666666663</v>
      </c>
      <c r="F174" t="s">
        <v>73</v>
      </c>
      <c r="G174">
        <v>60</v>
      </c>
      <c r="H174">
        <v>53</v>
      </c>
      <c r="I174">
        <v>7.3</v>
      </c>
      <c r="J174">
        <v>13</v>
      </c>
      <c r="K174" t="s">
        <v>66</v>
      </c>
      <c r="L174">
        <v>0</v>
      </c>
      <c r="M174" t="s">
        <v>34</v>
      </c>
      <c r="N174">
        <v>37</v>
      </c>
      <c r="O174">
        <v>36</v>
      </c>
      <c r="P174">
        <v>10.4</v>
      </c>
      <c r="Q174">
        <v>0</v>
      </c>
      <c r="R174">
        <v>17</v>
      </c>
      <c r="S174">
        <v>2</v>
      </c>
      <c r="T174">
        <v>2</v>
      </c>
      <c r="U174">
        <v>0</v>
      </c>
      <c r="V174" t="s">
        <v>41</v>
      </c>
      <c r="W174">
        <v>0</v>
      </c>
      <c r="X174">
        <v>0.97297297297297303</v>
      </c>
      <c r="Y174">
        <v>1</v>
      </c>
      <c r="Z174">
        <v>4.6153846153846096</v>
      </c>
      <c r="AA174">
        <v>8.2191780821917799</v>
      </c>
      <c r="AB174">
        <v>7</v>
      </c>
      <c r="AC174">
        <v>4.0518518518518496</v>
      </c>
    </row>
    <row r="175" spans="1:29" x14ac:dyDescent="0.35">
      <c r="A175" t="s">
        <v>255</v>
      </c>
      <c r="B175" t="s">
        <v>60</v>
      </c>
      <c r="C175" s="1">
        <v>45690</v>
      </c>
      <c r="D175" t="s">
        <v>31</v>
      </c>
      <c r="E175" s="2">
        <v>0.67708333333333337</v>
      </c>
      <c r="F175" t="s">
        <v>32</v>
      </c>
      <c r="G175">
        <v>37</v>
      </c>
      <c r="H175">
        <v>34</v>
      </c>
      <c r="I175">
        <v>12.5</v>
      </c>
      <c r="J175">
        <v>22</v>
      </c>
      <c r="K175" t="s">
        <v>51</v>
      </c>
      <c r="L175">
        <v>0</v>
      </c>
      <c r="M175" t="s">
        <v>34</v>
      </c>
      <c r="N175">
        <v>22</v>
      </c>
      <c r="O175">
        <v>21</v>
      </c>
      <c r="P175">
        <v>2.2999999999999998</v>
      </c>
      <c r="Q175">
        <v>0</v>
      </c>
      <c r="R175">
        <v>16</v>
      </c>
      <c r="S175">
        <v>2</v>
      </c>
      <c r="T175">
        <v>6</v>
      </c>
      <c r="U175">
        <v>1</v>
      </c>
      <c r="V175" t="s">
        <v>35</v>
      </c>
      <c r="W175">
        <v>0</v>
      </c>
      <c r="X175">
        <v>0.95454545454545403</v>
      </c>
      <c r="Y175">
        <v>0</v>
      </c>
      <c r="Z175">
        <v>1.6818181818181801</v>
      </c>
      <c r="AA175">
        <v>2.96</v>
      </c>
      <c r="AB175">
        <v>3</v>
      </c>
      <c r="AC175">
        <v>3.4760869565217298</v>
      </c>
    </row>
    <row r="176" spans="1:29" x14ac:dyDescent="0.35">
      <c r="A176" t="s">
        <v>256</v>
      </c>
      <c r="B176" t="s">
        <v>43</v>
      </c>
      <c r="C176" s="1">
        <v>45690</v>
      </c>
      <c r="D176" t="s">
        <v>31</v>
      </c>
      <c r="E176" s="2">
        <v>0.44791666666666669</v>
      </c>
      <c r="F176" t="s">
        <v>55</v>
      </c>
      <c r="G176">
        <v>42</v>
      </c>
      <c r="H176">
        <v>42</v>
      </c>
      <c r="I176">
        <v>18.399999999999999</v>
      </c>
      <c r="J176">
        <v>32</v>
      </c>
      <c r="K176" t="s">
        <v>46</v>
      </c>
      <c r="L176">
        <v>0</v>
      </c>
      <c r="M176" t="s">
        <v>34</v>
      </c>
      <c r="N176">
        <v>22</v>
      </c>
      <c r="O176">
        <v>20</v>
      </c>
      <c r="P176">
        <v>14.2</v>
      </c>
      <c r="Q176">
        <v>0</v>
      </c>
      <c r="R176">
        <v>10</v>
      </c>
      <c r="S176">
        <v>2</v>
      </c>
      <c r="T176">
        <v>6</v>
      </c>
      <c r="U176">
        <v>1</v>
      </c>
      <c r="V176" t="s">
        <v>35</v>
      </c>
      <c r="W176">
        <v>0</v>
      </c>
      <c r="X176">
        <v>0.90909090909090895</v>
      </c>
      <c r="Y176">
        <v>1</v>
      </c>
      <c r="Z176">
        <v>1.3125</v>
      </c>
      <c r="AA176">
        <v>2.2826086956521698</v>
      </c>
      <c r="AB176">
        <v>0</v>
      </c>
      <c r="AC176">
        <v>8.6013888888888896</v>
      </c>
    </row>
    <row r="177" spans="1:29" x14ac:dyDescent="0.35">
      <c r="A177" t="s">
        <v>257</v>
      </c>
      <c r="B177" t="s">
        <v>60</v>
      </c>
      <c r="C177" s="1">
        <v>45684</v>
      </c>
      <c r="D177" t="s">
        <v>87</v>
      </c>
      <c r="E177" s="2">
        <v>0.33333333333333331</v>
      </c>
      <c r="F177" t="s">
        <v>45</v>
      </c>
      <c r="G177">
        <v>93</v>
      </c>
      <c r="H177">
        <v>92</v>
      </c>
      <c r="I177">
        <v>12.5</v>
      </c>
      <c r="J177">
        <v>22</v>
      </c>
      <c r="K177" t="s">
        <v>51</v>
      </c>
      <c r="L177">
        <v>0</v>
      </c>
      <c r="M177" t="s">
        <v>34</v>
      </c>
      <c r="N177">
        <v>24</v>
      </c>
      <c r="O177">
        <v>23</v>
      </c>
      <c r="P177">
        <v>0.5</v>
      </c>
      <c r="Q177">
        <v>0</v>
      </c>
      <c r="R177">
        <v>8</v>
      </c>
      <c r="S177">
        <v>1</v>
      </c>
      <c r="T177">
        <v>0</v>
      </c>
      <c r="U177">
        <v>0</v>
      </c>
      <c r="V177" t="s">
        <v>47</v>
      </c>
      <c r="W177">
        <v>0</v>
      </c>
      <c r="X177">
        <v>0.95833333333333304</v>
      </c>
      <c r="Y177">
        <v>0</v>
      </c>
      <c r="Z177">
        <v>4.2272727272727204</v>
      </c>
      <c r="AA177">
        <v>7.44</v>
      </c>
      <c r="AB177">
        <v>1</v>
      </c>
      <c r="AC177">
        <v>3.4760869565217298</v>
      </c>
    </row>
    <row r="178" spans="1:29" x14ac:dyDescent="0.35">
      <c r="A178" t="s">
        <v>258</v>
      </c>
      <c r="B178" t="s">
        <v>43</v>
      </c>
      <c r="C178" s="1">
        <v>45704</v>
      </c>
      <c r="D178" t="s">
        <v>31</v>
      </c>
      <c r="E178" s="2">
        <v>0.65625</v>
      </c>
      <c r="F178" t="s">
        <v>68</v>
      </c>
      <c r="G178">
        <v>46</v>
      </c>
      <c r="H178">
        <v>46</v>
      </c>
      <c r="I178">
        <v>18.399999999999999</v>
      </c>
      <c r="J178">
        <v>32</v>
      </c>
      <c r="K178" t="s">
        <v>46</v>
      </c>
      <c r="L178">
        <v>0</v>
      </c>
      <c r="M178" t="s">
        <v>34</v>
      </c>
      <c r="N178">
        <v>25</v>
      </c>
      <c r="O178">
        <v>23</v>
      </c>
      <c r="P178">
        <v>9.4</v>
      </c>
      <c r="Q178">
        <v>0</v>
      </c>
      <c r="R178">
        <v>15</v>
      </c>
      <c r="S178">
        <v>2</v>
      </c>
      <c r="T178">
        <v>6</v>
      </c>
      <c r="U178">
        <v>1</v>
      </c>
      <c r="V178" t="s">
        <v>35</v>
      </c>
      <c r="W178">
        <v>0</v>
      </c>
      <c r="X178">
        <v>0.92</v>
      </c>
      <c r="Y178">
        <v>1</v>
      </c>
      <c r="Z178">
        <v>1.4375</v>
      </c>
      <c r="AA178">
        <v>2.5</v>
      </c>
      <c r="AB178">
        <v>0</v>
      </c>
      <c r="AC178">
        <v>8.6013888888888896</v>
      </c>
    </row>
    <row r="179" spans="1:29" x14ac:dyDescent="0.35">
      <c r="A179" t="s">
        <v>259</v>
      </c>
      <c r="B179" t="s">
        <v>60</v>
      </c>
      <c r="C179" s="1">
        <v>45712</v>
      </c>
      <c r="D179" t="s">
        <v>87</v>
      </c>
      <c r="E179" s="2">
        <v>0.33333333333333331</v>
      </c>
      <c r="F179" t="s">
        <v>45</v>
      </c>
      <c r="G179">
        <v>69</v>
      </c>
      <c r="H179">
        <v>65</v>
      </c>
      <c r="I179">
        <v>12.5</v>
      </c>
      <c r="J179">
        <v>22</v>
      </c>
      <c r="K179" t="s">
        <v>51</v>
      </c>
      <c r="L179">
        <v>0</v>
      </c>
      <c r="M179" t="s">
        <v>34</v>
      </c>
      <c r="N179">
        <v>21</v>
      </c>
      <c r="O179">
        <v>20</v>
      </c>
      <c r="P179">
        <v>3.5</v>
      </c>
      <c r="Q179">
        <v>0</v>
      </c>
      <c r="R179">
        <v>8</v>
      </c>
      <c r="S179">
        <v>2</v>
      </c>
      <c r="T179">
        <v>0</v>
      </c>
      <c r="U179">
        <v>0</v>
      </c>
      <c r="V179" t="s">
        <v>47</v>
      </c>
      <c r="W179">
        <v>0</v>
      </c>
      <c r="X179">
        <v>0.952380952380952</v>
      </c>
      <c r="Y179">
        <v>0</v>
      </c>
      <c r="Z179">
        <v>3.13636363636363</v>
      </c>
      <c r="AA179">
        <v>5.52</v>
      </c>
      <c r="AB179">
        <v>4</v>
      </c>
      <c r="AC179">
        <v>3.4760869565217298</v>
      </c>
    </row>
    <row r="180" spans="1:29" x14ac:dyDescent="0.35">
      <c r="A180" t="s">
        <v>260</v>
      </c>
      <c r="B180" t="s">
        <v>30</v>
      </c>
      <c r="C180" s="1">
        <v>45711</v>
      </c>
      <c r="D180" t="s">
        <v>31</v>
      </c>
      <c r="E180" s="2">
        <v>0.59375</v>
      </c>
      <c r="F180" t="s">
        <v>100</v>
      </c>
      <c r="G180">
        <v>32</v>
      </c>
      <c r="H180">
        <v>32</v>
      </c>
      <c r="I180">
        <v>10.1</v>
      </c>
      <c r="J180">
        <v>19</v>
      </c>
      <c r="K180" t="s">
        <v>33</v>
      </c>
      <c r="L180">
        <v>0</v>
      </c>
      <c r="M180" t="s">
        <v>34</v>
      </c>
      <c r="N180">
        <v>32</v>
      </c>
      <c r="O180">
        <v>30</v>
      </c>
      <c r="P180">
        <v>2.5</v>
      </c>
      <c r="Q180">
        <v>0</v>
      </c>
      <c r="R180">
        <v>14</v>
      </c>
      <c r="S180">
        <v>2</v>
      </c>
      <c r="T180">
        <v>6</v>
      </c>
      <c r="U180">
        <v>1</v>
      </c>
      <c r="V180" t="s">
        <v>35</v>
      </c>
      <c r="W180">
        <v>0</v>
      </c>
      <c r="X180">
        <v>0.9375</v>
      </c>
      <c r="Y180">
        <v>0</v>
      </c>
      <c r="Z180">
        <v>1.6842105263157801</v>
      </c>
      <c r="AA180">
        <v>3.16831683168316</v>
      </c>
      <c r="AB180">
        <v>0</v>
      </c>
      <c r="AC180">
        <v>3.6613636363636299</v>
      </c>
    </row>
    <row r="181" spans="1:29" x14ac:dyDescent="0.35">
      <c r="A181" t="s">
        <v>261</v>
      </c>
      <c r="B181" t="s">
        <v>37</v>
      </c>
      <c r="C181" s="1">
        <v>45704</v>
      </c>
      <c r="D181" t="s">
        <v>31</v>
      </c>
      <c r="E181" s="2">
        <v>0.55208333333333337</v>
      </c>
      <c r="F181" t="s">
        <v>45</v>
      </c>
      <c r="G181">
        <v>26</v>
      </c>
      <c r="H181">
        <v>23</v>
      </c>
      <c r="I181">
        <v>9.5</v>
      </c>
      <c r="J181">
        <v>17</v>
      </c>
      <c r="K181" t="s">
        <v>40</v>
      </c>
      <c r="L181">
        <v>0</v>
      </c>
      <c r="M181" t="s">
        <v>34</v>
      </c>
      <c r="N181">
        <v>18</v>
      </c>
      <c r="O181">
        <v>17</v>
      </c>
      <c r="P181">
        <v>4.4000000000000004</v>
      </c>
      <c r="Q181">
        <v>0</v>
      </c>
      <c r="R181">
        <v>13</v>
      </c>
      <c r="S181">
        <v>2</v>
      </c>
      <c r="T181">
        <v>6</v>
      </c>
      <c r="U181">
        <v>1</v>
      </c>
      <c r="V181" t="s">
        <v>35</v>
      </c>
      <c r="W181">
        <v>0</v>
      </c>
      <c r="X181">
        <v>0.94444444444444398</v>
      </c>
      <c r="Y181">
        <v>0</v>
      </c>
      <c r="Z181">
        <v>1.52941176470588</v>
      </c>
      <c r="AA181">
        <v>2.73684210526315</v>
      </c>
      <c r="AB181">
        <v>3</v>
      </c>
      <c r="AC181">
        <v>3.8470588235294101</v>
      </c>
    </row>
    <row r="182" spans="1:29" x14ac:dyDescent="0.35">
      <c r="A182" t="s">
        <v>262</v>
      </c>
      <c r="B182" t="s">
        <v>60</v>
      </c>
      <c r="C182" s="1">
        <v>45691</v>
      </c>
      <c r="D182" t="s">
        <v>87</v>
      </c>
      <c r="E182" s="2">
        <v>0.71875</v>
      </c>
      <c r="F182" t="s">
        <v>68</v>
      </c>
      <c r="G182">
        <v>76</v>
      </c>
      <c r="H182">
        <v>71</v>
      </c>
      <c r="I182">
        <v>12.5</v>
      </c>
      <c r="J182">
        <v>22</v>
      </c>
      <c r="K182" t="s">
        <v>51</v>
      </c>
      <c r="L182">
        <v>0</v>
      </c>
      <c r="M182" t="s">
        <v>34</v>
      </c>
      <c r="N182">
        <v>30</v>
      </c>
      <c r="O182">
        <v>30</v>
      </c>
      <c r="P182">
        <v>0.3</v>
      </c>
      <c r="Q182">
        <v>0</v>
      </c>
      <c r="R182">
        <v>17</v>
      </c>
      <c r="S182">
        <v>2</v>
      </c>
      <c r="T182">
        <v>0</v>
      </c>
      <c r="U182">
        <v>0</v>
      </c>
      <c r="V182" t="s">
        <v>41</v>
      </c>
      <c r="W182">
        <v>0</v>
      </c>
      <c r="X182">
        <v>1</v>
      </c>
      <c r="Y182">
        <v>0</v>
      </c>
      <c r="Z182">
        <v>3.4545454545454501</v>
      </c>
      <c r="AA182">
        <v>6.08</v>
      </c>
      <c r="AB182">
        <v>5</v>
      </c>
      <c r="AC182">
        <v>3.4760869565217298</v>
      </c>
    </row>
    <row r="183" spans="1:29" x14ac:dyDescent="0.35">
      <c r="A183" t="s">
        <v>263</v>
      </c>
      <c r="B183" t="s">
        <v>106</v>
      </c>
      <c r="C183" s="1">
        <v>45675</v>
      </c>
      <c r="D183" t="s">
        <v>50</v>
      </c>
      <c r="E183" s="2">
        <v>0.29166666666666669</v>
      </c>
      <c r="F183" t="s">
        <v>100</v>
      </c>
      <c r="G183">
        <v>92</v>
      </c>
      <c r="H183">
        <v>86</v>
      </c>
      <c r="I183">
        <v>15</v>
      </c>
      <c r="J183">
        <v>28</v>
      </c>
      <c r="K183" t="s">
        <v>40</v>
      </c>
      <c r="L183">
        <v>0</v>
      </c>
      <c r="M183" t="s">
        <v>148</v>
      </c>
      <c r="N183">
        <v>30</v>
      </c>
      <c r="O183">
        <v>28</v>
      </c>
      <c r="P183">
        <v>9.1</v>
      </c>
      <c r="Q183">
        <v>0</v>
      </c>
      <c r="R183">
        <v>7</v>
      </c>
      <c r="S183">
        <v>1</v>
      </c>
      <c r="T183">
        <v>5</v>
      </c>
      <c r="U183">
        <v>1</v>
      </c>
      <c r="V183" t="s">
        <v>47</v>
      </c>
      <c r="W183">
        <v>1</v>
      </c>
      <c r="X183">
        <v>0.93333333333333302</v>
      </c>
      <c r="Y183">
        <v>1</v>
      </c>
      <c r="Z183">
        <v>3.2857142857142798</v>
      </c>
      <c r="AA183">
        <v>6.1333333333333302</v>
      </c>
      <c r="AB183">
        <v>6</v>
      </c>
      <c r="AC183">
        <v>9.4749999999999996</v>
      </c>
    </row>
    <row r="184" spans="1:29" x14ac:dyDescent="0.35">
      <c r="A184" t="s">
        <v>264</v>
      </c>
      <c r="B184" t="s">
        <v>49</v>
      </c>
      <c r="C184" s="1">
        <v>45683</v>
      </c>
      <c r="D184" t="s">
        <v>31</v>
      </c>
      <c r="E184" s="2">
        <v>0.70833333333333337</v>
      </c>
      <c r="F184" t="s">
        <v>73</v>
      </c>
      <c r="G184">
        <v>53</v>
      </c>
      <c r="H184">
        <v>48</v>
      </c>
      <c r="I184">
        <v>8.1999999999999993</v>
      </c>
      <c r="J184">
        <v>15</v>
      </c>
      <c r="K184" t="s">
        <v>51</v>
      </c>
      <c r="L184">
        <v>1</v>
      </c>
      <c r="M184" t="s">
        <v>34</v>
      </c>
      <c r="N184">
        <v>19</v>
      </c>
      <c r="O184">
        <v>19</v>
      </c>
      <c r="P184">
        <v>2.5</v>
      </c>
      <c r="Q184">
        <v>0</v>
      </c>
      <c r="R184">
        <v>17</v>
      </c>
      <c r="S184">
        <v>1</v>
      </c>
      <c r="T184">
        <v>6</v>
      </c>
      <c r="U184">
        <v>1</v>
      </c>
      <c r="V184" t="s">
        <v>41</v>
      </c>
      <c r="W184">
        <v>0</v>
      </c>
      <c r="X184">
        <v>1</v>
      </c>
      <c r="Y184">
        <v>0</v>
      </c>
      <c r="Z184">
        <v>3.5333333333333301</v>
      </c>
      <c r="AA184">
        <v>6.4634146341463401</v>
      </c>
      <c r="AB184">
        <v>5</v>
      </c>
      <c r="AC184">
        <v>3.6937500000000001</v>
      </c>
    </row>
    <row r="185" spans="1:29" x14ac:dyDescent="0.35">
      <c r="A185" t="s">
        <v>265</v>
      </c>
      <c r="B185" t="s">
        <v>37</v>
      </c>
      <c r="C185" s="1">
        <v>45700</v>
      </c>
      <c r="D185" t="s">
        <v>78</v>
      </c>
      <c r="E185" s="2">
        <v>0.69791666666666663</v>
      </c>
      <c r="F185" t="s">
        <v>100</v>
      </c>
      <c r="G185">
        <v>37</v>
      </c>
      <c r="H185">
        <v>32</v>
      </c>
      <c r="I185">
        <v>9.5</v>
      </c>
      <c r="J185">
        <v>17</v>
      </c>
      <c r="K185" t="s">
        <v>40</v>
      </c>
      <c r="L185">
        <v>0</v>
      </c>
      <c r="M185" t="s">
        <v>34</v>
      </c>
      <c r="N185">
        <v>37</v>
      </c>
      <c r="O185">
        <v>36</v>
      </c>
      <c r="P185">
        <v>3.1</v>
      </c>
      <c r="Q185">
        <v>0</v>
      </c>
      <c r="R185">
        <v>16</v>
      </c>
      <c r="S185">
        <v>2</v>
      </c>
      <c r="T185">
        <v>2</v>
      </c>
      <c r="U185">
        <v>0</v>
      </c>
      <c r="V185" t="s">
        <v>35</v>
      </c>
      <c r="W185">
        <v>0</v>
      </c>
      <c r="X185">
        <v>0.97297297297297303</v>
      </c>
      <c r="Y185">
        <v>0</v>
      </c>
      <c r="Z185">
        <v>2.1764705882352899</v>
      </c>
      <c r="AA185">
        <v>3.8947368421052602</v>
      </c>
      <c r="AB185">
        <v>5</v>
      </c>
      <c r="AC185">
        <v>3.8470588235294101</v>
      </c>
    </row>
    <row r="186" spans="1:29" x14ac:dyDescent="0.35">
      <c r="A186" t="s">
        <v>266</v>
      </c>
      <c r="B186" t="s">
        <v>43</v>
      </c>
      <c r="C186" s="1">
        <v>45665</v>
      </c>
      <c r="D186" t="s">
        <v>78</v>
      </c>
      <c r="E186" s="2">
        <v>0.55208333333333337</v>
      </c>
      <c r="F186" t="s">
        <v>119</v>
      </c>
      <c r="G186">
        <v>48</v>
      </c>
      <c r="H186">
        <v>47</v>
      </c>
      <c r="I186">
        <v>18.399999999999999</v>
      </c>
      <c r="J186">
        <v>32</v>
      </c>
      <c r="K186" t="s">
        <v>46</v>
      </c>
      <c r="L186">
        <v>0</v>
      </c>
      <c r="M186" t="s">
        <v>34</v>
      </c>
      <c r="N186">
        <v>25</v>
      </c>
      <c r="O186">
        <v>24</v>
      </c>
      <c r="P186">
        <v>8.8000000000000007</v>
      </c>
      <c r="Q186">
        <v>1</v>
      </c>
      <c r="R186">
        <v>13</v>
      </c>
      <c r="S186">
        <v>1</v>
      </c>
      <c r="T186">
        <v>2</v>
      </c>
      <c r="U186">
        <v>0</v>
      </c>
      <c r="V186" t="s">
        <v>35</v>
      </c>
      <c r="W186">
        <v>0</v>
      </c>
      <c r="X186">
        <v>0.96</v>
      </c>
      <c r="Y186">
        <v>1</v>
      </c>
      <c r="Z186">
        <v>1.5</v>
      </c>
      <c r="AA186">
        <v>2.60869565217391</v>
      </c>
      <c r="AB186">
        <v>1</v>
      </c>
      <c r="AC186">
        <v>8.6013888888888896</v>
      </c>
    </row>
    <row r="187" spans="1:29" x14ac:dyDescent="0.35">
      <c r="A187" t="s">
        <v>267</v>
      </c>
      <c r="B187" t="s">
        <v>106</v>
      </c>
      <c r="C187" s="1">
        <v>45681</v>
      </c>
      <c r="D187" t="s">
        <v>38</v>
      </c>
      <c r="E187" s="2">
        <v>0.625</v>
      </c>
      <c r="F187" t="s">
        <v>32</v>
      </c>
      <c r="G187">
        <v>55</v>
      </c>
      <c r="H187">
        <v>54</v>
      </c>
      <c r="I187">
        <v>15</v>
      </c>
      <c r="J187">
        <v>28</v>
      </c>
      <c r="K187" t="s">
        <v>40</v>
      </c>
      <c r="L187">
        <v>0</v>
      </c>
      <c r="M187" t="s">
        <v>34</v>
      </c>
      <c r="N187">
        <v>37</v>
      </c>
      <c r="O187">
        <v>33</v>
      </c>
      <c r="P187">
        <v>5.0999999999999996</v>
      </c>
      <c r="Q187">
        <v>0</v>
      </c>
      <c r="R187">
        <v>15</v>
      </c>
      <c r="S187">
        <v>1</v>
      </c>
      <c r="T187">
        <v>4</v>
      </c>
      <c r="U187">
        <v>0</v>
      </c>
      <c r="V187" t="s">
        <v>35</v>
      </c>
      <c r="W187">
        <v>0</v>
      </c>
      <c r="X187">
        <v>0.891891891891891</v>
      </c>
      <c r="Y187">
        <v>1</v>
      </c>
      <c r="Z187">
        <v>1.96428571428571</v>
      </c>
      <c r="AA187">
        <v>3.6666666666666599</v>
      </c>
      <c r="AB187">
        <v>1</v>
      </c>
      <c r="AC187">
        <v>9.4749999999999996</v>
      </c>
    </row>
    <row r="188" spans="1:29" x14ac:dyDescent="0.35">
      <c r="A188" t="s">
        <v>268</v>
      </c>
      <c r="B188" t="s">
        <v>57</v>
      </c>
      <c r="C188" s="1">
        <v>45683</v>
      </c>
      <c r="D188" t="s">
        <v>31</v>
      </c>
      <c r="E188" s="2">
        <v>0.72916666666666663</v>
      </c>
      <c r="F188" t="s">
        <v>45</v>
      </c>
      <c r="G188">
        <v>72</v>
      </c>
      <c r="H188">
        <v>62</v>
      </c>
      <c r="I188">
        <v>14.2</v>
      </c>
      <c r="J188">
        <v>25</v>
      </c>
      <c r="K188" t="s">
        <v>46</v>
      </c>
      <c r="L188">
        <v>1</v>
      </c>
      <c r="M188" t="s">
        <v>34</v>
      </c>
      <c r="N188">
        <v>39</v>
      </c>
      <c r="O188">
        <v>35</v>
      </c>
      <c r="P188">
        <v>3.9</v>
      </c>
      <c r="Q188">
        <v>0</v>
      </c>
      <c r="R188">
        <v>17</v>
      </c>
      <c r="S188">
        <v>1</v>
      </c>
      <c r="T188">
        <v>6</v>
      </c>
      <c r="U188">
        <v>1</v>
      </c>
      <c r="V188" t="s">
        <v>41</v>
      </c>
      <c r="W188">
        <v>0</v>
      </c>
      <c r="X188">
        <v>0.89743589743589702</v>
      </c>
      <c r="Y188">
        <v>0</v>
      </c>
      <c r="Z188">
        <v>2.88</v>
      </c>
      <c r="AA188">
        <v>5.07042253521126</v>
      </c>
      <c r="AB188">
        <v>10</v>
      </c>
      <c r="AC188">
        <v>8.3255319148936096</v>
      </c>
    </row>
    <row r="189" spans="1:29" x14ac:dyDescent="0.35">
      <c r="A189" t="s">
        <v>269</v>
      </c>
      <c r="B189" t="s">
        <v>43</v>
      </c>
      <c r="C189" s="1">
        <v>45671</v>
      </c>
      <c r="D189" t="s">
        <v>44</v>
      </c>
      <c r="E189" s="2">
        <v>0.67708333333333337</v>
      </c>
      <c r="F189" t="s">
        <v>82</v>
      </c>
      <c r="G189">
        <v>63</v>
      </c>
      <c r="H189">
        <v>60</v>
      </c>
      <c r="I189">
        <v>18.399999999999999</v>
      </c>
      <c r="J189">
        <v>32</v>
      </c>
      <c r="K189" t="s">
        <v>46</v>
      </c>
      <c r="L189">
        <v>1</v>
      </c>
      <c r="M189" t="s">
        <v>34</v>
      </c>
      <c r="N189">
        <v>18</v>
      </c>
      <c r="O189">
        <v>17</v>
      </c>
      <c r="P189">
        <v>5.9</v>
      </c>
      <c r="Q189">
        <v>0</v>
      </c>
      <c r="R189">
        <v>16</v>
      </c>
      <c r="S189">
        <v>1</v>
      </c>
      <c r="T189">
        <v>1</v>
      </c>
      <c r="U189">
        <v>0</v>
      </c>
      <c r="V189" t="s">
        <v>35</v>
      </c>
      <c r="W189">
        <v>0</v>
      </c>
      <c r="X189">
        <v>0.94444444444444398</v>
      </c>
      <c r="Y189">
        <v>1</v>
      </c>
      <c r="Z189">
        <v>1.96875</v>
      </c>
      <c r="AA189">
        <v>3.4239130434782599</v>
      </c>
      <c r="AB189">
        <v>3</v>
      </c>
      <c r="AC189">
        <v>8.6013888888888896</v>
      </c>
    </row>
    <row r="190" spans="1:29" x14ac:dyDescent="0.35">
      <c r="A190" t="s">
        <v>270</v>
      </c>
      <c r="B190" t="s">
        <v>43</v>
      </c>
      <c r="C190" s="1">
        <v>45714</v>
      </c>
      <c r="D190" t="s">
        <v>78</v>
      </c>
      <c r="E190" s="2">
        <v>0.79166666666666663</v>
      </c>
      <c r="F190" t="s">
        <v>39</v>
      </c>
      <c r="G190">
        <v>88</v>
      </c>
      <c r="H190">
        <v>76</v>
      </c>
      <c r="I190">
        <v>18.399999999999999</v>
      </c>
      <c r="J190">
        <v>32</v>
      </c>
      <c r="K190" t="s">
        <v>46</v>
      </c>
      <c r="L190">
        <v>0</v>
      </c>
      <c r="M190" t="s">
        <v>34</v>
      </c>
      <c r="N190">
        <v>38</v>
      </c>
      <c r="O190">
        <v>32</v>
      </c>
      <c r="P190">
        <v>14.9</v>
      </c>
      <c r="Q190">
        <v>0</v>
      </c>
      <c r="R190">
        <v>19</v>
      </c>
      <c r="S190">
        <v>2</v>
      </c>
      <c r="T190">
        <v>2</v>
      </c>
      <c r="U190">
        <v>0</v>
      </c>
      <c r="V190" t="s">
        <v>41</v>
      </c>
      <c r="W190">
        <v>0</v>
      </c>
      <c r="X190">
        <v>0.84210526315789402</v>
      </c>
      <c r="Y190">
        <v>1</v>
      </c>
      <c r="Z190">
        <v>2.75</v>
      </c>
      <c r="AA190">
        <v>4.7826086956521703</v>
      </c>
      <c r="AB190">
        <v>12</v>
      </c>
      <c r="AC190">
        <v>8.6013888888888896</v>
      </c>
    </row>
    <row r="191" spans="1:29" x14ac:dyDescent="0.35">
      <c r="A191" t="s">
        <v>271</v>
      </c>
      <c r="B191" t="s">
        <v>60</v>
      </c>
      <c r="C191" s="1">
        <v>45682</v>
      </c>
      <c r="D191" t="s">
        <v>50</v>
      </c>
      <c r="E191" s="2">
        <v>0.28125</v>
      </c>
      <c r="F191" t="s">
        <v>97</v>
      </c>
      <c r="G191">
        <v>43</v>
      </c>
      <c r="H191">
        <v>41</v>
      </c>
      <c r="I191">
        <v>12.5</v>
      </c>
      <c r="J191">
        <v>22</v>
      </c>
      <c r="K191" t="s">
        <v>51</v>
      </c>
      <c r="L191">
        <v>0</v>
      </c>
      <c r="M191" t="s">
        <v>69</v>
      </c>
      <c r="N191">
        <v>19</v>
      </c>
      <c r="O191">
        <v>18</v>
      </c>
      <c r="P191">
        <v>0.9</v>
      </c>
      <c r="Q191">
        <v>0</v>
      </c>
      <c r="R191">
        <v>6</v>
      </c>
      <c r="S191">
        <v>1</v>
      </c>
      <c r="T191">
        <v>5</v>
      </c>
      <c r="U191">
        <v>1</v>
      </c>
      <c r="V191" t="s">
        <v>35</v>
      </c>
      <c r="W191">
        <v>1</v>
      </c>
      <c r="X191">
        <v>0.94736842105263097</v>
      </c>
      <c r="Y191">
        <v>0</v>
      </c>
      <c r="Z191">
        <v>1.9545454545454499</v>
      </c>
      <c r="AA191">
        <v>3.44</v>
      </c>
      <c r="AB191">
        <v>2</v>
      </c>
      <c r="AC191">
        <v>3.4760869565217298</v>
      </c>
    </row>
    <row r="192" spans="1:29" x14ac:dyDescent="0.35">
      <c r="A192" t="s">
        <v>272</v>
      </c>
      <c r="B192" t="s">
        <v>49</v>
      </c>
      <c r="C192" s="1">
        <v>45663</v>
      </c>
      <c r="D192" t="s">
        <v>87</v>
      </c>
      <c r="E192" s="2">
        <v>0.63541666666666663</v>
      </c>
      <c r="F192" t="s">
        <v>32</v>
      </c>
      <c r="G192">
        <v>32</v>
      </c>
      <c r="H192">
        <v>31</v>
      </c>
      <c r="I192">
        <v>8.1999999999999993</v>
      </c>
      <c r="J192">
        <v>15</v>
      </c>
      <c r="K192" t="s">
        <v>51</v>
      </c>
      <c r="L192">
        <v>0</v>
      </c>
      <c r="M192" t="s">
        <v>34</v>
      </c>
      <c r="N192">
        <v>30</v>
      </c>
      <c r="O192">
        <v>30</v>
      </c>
      <c r="P192">
        <v>4.3</v>
      </c>
      <c r="Q192">
        <v>0</v>
      </c>
      <c r="R192">
        <v>15</v>
      </c>
      <c r="S192">
        <v>1</v>
      </c>
      <c r="T192">
        <v>0</v>
      </c>
      <c r="U192">
        <v>0</v>
      </c>
      <c r="V192" t="s">
        <v>35</v>
      </c>
      <c r="W192">
        <v>0</v>
      </c>
      <c r="X192">
        <v>1</v>
      </c>
      <c r="Y192">
        <v>0</v>
      </c>
      <c r="Z192">
        <v>2.1333333333333302</v>
      </c>
      <c r="AA192">
        <v>3.9024390243902398</v>
      </c>
      <c r="AB192">
        <v>1</v>
      </c>
      <c r="AC192">
        <v>3.6937500000000001</v>
      </c>
    </row>
    <row r="193" spans="1:29" x14ac:dyDescent="0.35">
      <c r="A193" t="s">
        <v>273</v>
      </c>
      <c r="B193" t="s">
        <v>30</v>
      </c>
      <c r="C193" s="1">
        <v>45714</v>
      </c>
      <c r="D193" t="s">
        <v>78</v>
      </c>
      <c r="E193" s="2">
        <v>0.29166666666666669</v>
      </c>
      <c r="F193" t="s">
        <v>32</v>
      </c>
      <c r="G193">
        <v>71</v>
      </c>
      <c r="H193">
        <v>65</v>
      </c>
      <c r="I193">
        <v>10.1</v>
      </c>
      <c r="J193">
        <v>19</v>
      </c>
      <c r="K193" t="s">
        <v>33</v>
      </c>
      <c r="L193">
        <v>0</v>
      </c>
      <c r="M193" t="s">
        <v>34</v>
      </c>
      <c r="N193">
        <v>36</v>
      </c>
      <c r="O193">
        <v>35</v>
      </c>
      <c r="P193">
        <v>2.2999999999999998</v>
      </c>
      <c r="Q193">
        <v>0</v>
      </c>
      <c r="R193">
        <v>7</v>
      </c>
      <c r="S193">
        <v>2</v>
      </c>
      <c r="T193">
        <v>2</v>
      </c>
      <c r="U193">
        <v>0</v>
      </c>
      <c r="V193" t="s">
        <v>47</v>
      </c>
      <c r="W193">
        <v>0</v>
      </c>
      <c r="X193">
        <v>0.97222222222222199</v>
      </c>
      <c r="Y193">
        <v>0</v>
      </c>
      <c r="Z193">
        <v>3.73684210526315</v>
      </c>
      <c r="AA193">
        <v>7.0297029702970297</v>
      </c>
      <c r="AB193">
        <v>6</v>
      </c>
      <c r="AC193">
        <v>3.6613636363636299</v>
      </c>
    </row>
    <row r="194" spans="1:29" x14ac:dyDescent="0.35">
      <c r="A194" t="s">
        <v>274</v>
      </c>
      <c r="B194" t="s">
        <v>106</v>
      </c>
      <c r="C194" s="1">
        <v>45665</v>
      </c>
      <c r="D194" t="s">
        <v>78</v>
      </c>
      <c r="E194" s="2">
        <v>0.21875</v>
      </c>
      <c r="F194" t="s">
        <v>45</v>
      </c>
      <c r="G194">
        <v>48</v>
      </c>
      <c r="H194">
        <v>42</v>
      </c>
      <c r="I194">
        <v>15</v>
      </c>
      <c r="J194">
        <v>28</v>
      </c>
      <c r="K194" t="s">
        <v>40</v>
      </c>
      <c r="L194">
        <v>0</v>
      </c>
      <c r="M194" t="s">
        <v>34</v>
      </c>
      <c r="N194">
        <v>26</v>
      </c>
      <c r="O194">
        <v>21</v>
      </c>
      <c r="P194">
        <v>13.8</v>
      </c>
      <c r="Q194">
        <v>0</v>
      </c>
      <c r="R194">
        <v>5</v>
      </c>
      <c r="S194">
        <v>1</v>
      </c>
      <c r="T194">
        <v>2</v>
      </c>
      <c r="U194">
        <v>0</v>
      </c>
      <c r="V194" t="s">
        <v>35</v>
      </c>
      <c r="W194">
        <v>0</v>
      </c>
      <c r="X194">
        <v>0.80769230769230704</v>
      </c>
      <c r="Y194">
        <v>1</v>
      </c>
      <c r="Z194">
        <v>1.71428571428571</v>
      </c>
      <c r="AA194">
        <v>3.2</v>
      </c>
      <c r="AB194">
        <v>6</v>
      </c>
      <c r="AC194">
        <v>9.4749999999999996</v>
      </c>
    </row>
    <row r="195" spans="1:29" x14ac:dyDescent="0.35">
      <c r="A195" t="s">
        <v>275</v>
      </c>
      <c r="B195" t="s">
        <v>106</v>
      </c>
      <c r="C195" s="1">
        <v>45710</v>
      </c>
      <c r="D195" t="s">
        <v>50</v>
      </c>
      <c r="E195" s="2">
        <v>0.38541666666666669</v>
      </c>
      <c r="F195" t="s">
        <v>58</v>
      </c>
      <c r="G195">
        <v>102</v>
      </c>
      <c r="H195">
        <v>96</v>
      </c>
      <c r="I195">
        <v>15</v>
      </c>
      <c r="J195">
        <v>28</v>
      </c>
      <c r="K195" t="s">
        <v>40</v>
      </c>
      <c r="L195">
        <v>0</v>
      </c>
      <c r="M195" t="s">
        <v>69</v>
      </c>
      <c r="N195">
        <v>28</v>
      </c>
      <c r="O195">
        <v>26</v>
      </c>
      <c r="P195">
        <v>9.6</v>
      </c>
      <c r="Q195">
        <v>0</v>
      </c>
      <c r="R195">
        <v>9</v>
      </c>
      <c r="S195">
        <v>2</v>
      </c>
      <c r="T195">
        <v>5</v>
      </c>
      <c r="U195">
        <v>1</v>
      </c>
      <c r="V195" t="s">
        <v>47</v>
      </c>
      <c r="W195">
        <v>1</v>
      </c>
      <c r="X195">
        <v>0.92857142857142805</v>
      </c>
      <c r="Y195">
        <v>1</v>
      </c>
      <c r="Z195">
        <v>3.6428571428571401</v>
      </c>
      <c r="AA195">
        <v>6.8</v>
      </c>
      <c r="AB195">
        <v>6</v>
      </c>
      <c r="AC195">
        <v>9.4749999999999996</v>
      </c>
    </row>
    <row r="196" spans="1:29" x14ac:dyDescent="0.35">
      <c r="A196" t="s">
        <v>276</v>
      </c>
      <c r="B196" t="s">
        <v>60</v>
      </c>
      <c r="C196" s="1">
        <v>45701</v>
      </c>
      <c r="D196" t="s">
        <v>54</v>
      </c>
      <c r="E196" s="2">
        <v>0.20833333333333334</v>
      </c>
      <c r="F196" t="s">
        <v>32</v>
      </c>
      <c r="G196">
        <v>41</v>
      </c>
      <c r="H196">
        <v>41</v>
      </c>
      <c r="I196">
        <v>12.5</v>
      </c>
      <c r="J196">
        <v>22</v>
      </c>
      <c r="K196" t="s">
        <v>51</v>
      </c>
      <c r="L196">
        <v>0</v>
      </c>
      <c r="M196" t="s">
        <v>34</v>
      </c>
      <c r="N196">
        <v>32</v>
      </c>
      <c r="O196">
        <v>32</v>
      </c>
      <c r="P196">
        <v>9.5</v>
      </c>
      <c r="Q196">
        <v>0</v>
      </c>
      <c r="R196">
        <v>5</v>
      </c>
      <c r="S196">
        <v>2</v>
      </c>
      <c r="T196">
        <v>3</v>
      </c>
      <c r="U196">
        <v>0</v>
      </c>
      <c r="V196" t="s">
        <v>35</v>
      </c>
      <c r="W196">
        <v>0</v>
      </c>
      <c r="X196">
        <v>1</v>
      </c>
      <c r="Y196">
        <v>1</v>
      </c>
      <c r="Z196">
        <v>1.86363636363636</v>
      </c>
      <c r="AA196">
        <v>3.28</v>
      </c>
      <c r="AB196">
        <v>0</v>
      </c>
      <c r="AC196">
        <v>3.4760869565217298</v>
      </c>
    </row>
    <row r="197" spans="1:29" x14ac:dyDescent="0.35">
      <c r="A197" t="s">
        <v>277</v>
      </c>
      <c r="B197" t="s">
        <v>72</v>
      </c>
      <c r="C197" s="1">
        <v>45686</v>
      </c>
      <c r="D197" t="s">
        <v>78</v>
      </c>
      <c r="E197" s="2">
        <v>0.35416666666666669</v>
      </c>
      <c r="F197" t="s">
        <v>110</v>
      </c>
      <c r="G197">
        <v>99</v>
      </c>
      <c r="H197">
        <v>90</v>
      </c>
      <c r="I197">
        <v>11.6</v>
      </c>
      <c r="J197">
        <v>21</v>
      </c>
      <c r="K197" t="s">
        <v>33</v>
      </c>
      <c r="L197">
        <v>0</v>
      </c>
      <c r="M197" t="s">
        <v>34</v>
      </c>
      <c r="N197">
        <v>24</v>
      </c>
      <c r="O197">
        <v>23</v>
      </c>
      <c r="P197">
        <v>1.2</v>
      </c>
      <c r="Q197">
        <v>0</v>
      </c>
      <c r="R197">
        <v>8</v>
      </c>
      <c r="S197">
        <v>1</v>
      </c>
      <c r="T197">
        <v>2</v>
      </c>
      <c r="U197">
        <v>0</v>
      </c>
      <c r="V197" t="s">
        <v>47</v>
      </c>
      <c r="W197">
        <v>0</v>
      </c>
      <c r="X197">
        <v>0.95833333333333304</v>
      </c>
      <c r="Y197">
        <v>0</v>
      </c>
      <c r="Z197">
        <v>4.71428571428571</v>
      </c>
      <c r="AA197">
        <v>8.5344827586206904</v>
      </c>
      <c r="AB197">
        <v>9</v>
      </c>
      <c r="AC197">
        <v>2.80217391304347</v>
      </c>
    </row>
    <row r="198" spans="1:29" x14ac:dyDescent="0.35">
      <c r="A198" t="s">
        <v>278</v>
      </c>
      <c r="B198" t="s">
        <v>43</v>
      </c>
      <c r="C198" s="1">
        <v>45711</v>
      </c>
      <c r="D198" t="s">
        <v>31</v>
      </c>
      <c r="E198" s="2">
        <v>0.55208333333333337</v>
      </c>
      <c r="F198" t="s">
        <v>97</v>
      </c>
      <c r="G198">
        <v>37</v>
      </c>
      <c r="H198">
        <v>32</v>
      </c>
      <c r="I198">
        <v>18.399999999999999</v>
      </c>
      <c r="J198">
        <v>32</v>
      </c>
      <c r="K198" t="s">
        <v>46</v>
      </c>
      <c r="L198">
        <v>0</v>
      </c>
      <c r="M198" t="s">
        <v>34</v>
      </c>
      <c r="N198">
        <v>29</v>
      </c>
      <c r="O198">
        <v>23</v>
      </c>
      <c r="P198">
        <v>3.4</v>
      </c>
      <c r="Q198">
        <v>0</v>
      </c>
      <c r="R198">
        <v>13</v>
      </c>
      <c r="S198">
        <v>2</v>
      </c>
      <c r="T198">
        <v>6</v>
      </c>
      <c r="U198">
        <v>1</v>
      </c>
      <c r="V198" t="s">
        <v>35</v>
      </c>
      <c r="W198">
        <v>0</v>
      </c>
      <c r="X198">
        <v>0.79310344827586199</v>
      </c>
      <c r="Y198">
        <v>0</v>
      </c>
      <c r="Z198">
        <v>1.15625</v>
      </c>
      <c r="AA198">
        <v>2.0108695652173898</v>
      </c>
      <c r="AB198">
        <v>5</v>
      </c>
      <c r="AC198">
        <v>8.6013888888888896</v>
      </c>
    </row>
    <row r="199" spans="1:29" x14ac:dyDescent="0.35">
      <c r="A199" t="s">
        <v>279</v>
      </c>
      <c r="B199" t="s">
        <v>37</v>
      </c>
      <c r="C199" s="1">
        <v>45670</v>
      </c>
      <c r="D199" t="s">
        <v>87</v>
      </c>
      <c r="E199" s="2">
        <v>0.57291666666666663</v>
      </c>
      <c r="F199" t="s">
        <v>39</v>
      </c>
      <c r="G199">
        <v>37</v>
      </c>
      <c r="H199">
        <v>32</v>
      </c>
      <c r="I199">
        <v>9.5</v>
      </c>
      <c r="J199">
        <v>17</v>
      </c>
      <c r="K199" t="s">
        <v>40</v>
      </c>
      <c r="L199">
        <v>0</v>
      </c>
      <c r="M199" t="s">
        <v>34</v>
      </c>
      <c r="N199">
        <v>35</v>
      </c>
      <c r="O199">
        <v>34</v>
      </c>
      <c r="P199">
        <v>4.7</v>
      </c>
      <c r="Q199">
        <v>0</v>
      </c>
      <c r="R199">
        <v>13</v>
      </c>
      <c r="S199">
        <v>1</v>
      </c>
      <c r="T199">
        <v>0</v>
      </c>
      <c r="U199">
        <v>0</v>
      </c>
      <c r="V199" t="s">
        <v>35</v>
      </c>
      <c r="W199">
        <v>0</v>
      </c>
      <c r="X199">
        <v>0.97142857142857097</v>
      </c>
      <c r="Y199">
        <v>0</v>
      </c>
      <c r="Z199">
        <v>2.1764705882352899</v>
      </c>
      <c r="AA199">
        <v>3.8947368421052602</v>
      </c>
      <c r="AB199">
        <v>5</v>
      </c>
      <c r="AC199">
        <v>3.8470588235294101</v>
      </c>
    </row>
    <row r="200" spans="1:29" x14ac:dyDescent="0.35">
      <c r="A200" t="s">
        <v>280</v>
      </c>
      <c r="B200" t="s">
        <v>60</v>
      </c>
      <c r="C200" s="1">
        <v>45683</v>
      </c>
      <c r="D200" t="s">
        <v>31</v>
      </c>
      <c r="E200" s="2">
        <v>0.55208333333333337</v>
      </c>
      <c r="F200" t="s">
        <v>32</v>
      </c>
      <c r="G200">
        <v>29</v>
      </c>
      <c r="H200">
        <v>28</v>
      </c>
      <c r="I200">
        <v>12.5</v>
      </c>
      <c r="J200">
        <v>22</v>
      </c>
      <c r="K200" t="s">
        <v>51</v>
      </c>
      <c r="L200">
        <v>1</v>
      </c>
      <c r="M200" t="s">
        <v>34</v>
      </c>
      <c r="N200">
        <v>22</v>
      </c>
      <c r="O200">
        <v>21</v>
      </c>
      <c r="P200">
        <v>4.7</v>
      </c>
      <c r="Q200">
        <v>0</v>
      </c>
      <c r="R200">
        <v>13</v>
      </c>
      <c r="S200">
        <v>1</v>
      </c>
      <c r="T200">
        <v>6</v>
      </c>
      <c r="U200">
        <v>1</v>
      </c>
      <c r="V200" t="s">
        <v>35</v>
      </c>
      <c r="W200">
        <v>0</v>
      </c>
      <c r="X200">
        <v>0.95454545454545403</v>
      </c>
      <c r="Y200">
        <v>0</v>
      </c>
      <c r="Z200">
        <v>1.3181818181818099</v>
      </c>
      <c r="AA200">
        <v>2.3199999999999998</v>
      </c>
      <c r="AB200">
        <v>1</v>
      </c>
      <c r="AC200">
        <v>3.4760869565217298</v>
      </c>
    </row>
    <row r="201" spans="1:29" x14ac:dyDescent="0.35">
      <c r="A201" t="s">
        <v>281</v>
      </c>
      <c r="B201" t="s">
        <v>37</v>
      </c>
      <c r="C201" s="1">
        <v>45681</v>
      </c>
      <c r="D201" t="s">
        <v>38</v>
      </c>
      <c r="E201" s="2">
        <v>0.58333333333333337</v>
      </c>
      <c r="F201" t="s">
        <v>39</v>
      </c>
      <c r="G201">
        <v>38</v>
      </c>
      <c r="H201">
        <v>32</v>
      </c>
      <c r="I201">
        <v>9.5</v>
      </c>
      <c r="J201">
        <v>17</v>
      </c>
      <c r="K201" t="s">
        <v>40</v>
      </c>
      <c r="L201">
        <v>0</v>
      </c>
      <c r="M201" t="s">
        <v>34</v>
      </c>
      <c r="N201">
        <v>23</v>
      </c>
      <c r="O201">
        <v>21</v>
      </c>
      <c r="P201">
        <v>0.9</v>
      </c>
      <c r="Q201">
        <v>0</v>
      </c>
      <c r="R201">
        <v>14</v>
      </c>
      <c r="S201">
        <v>1</v>
      </c>
      <c r="T201">
        <v>4</v>
      </c>
      <c r="U201">
        <v>0</v>
      </c>
      <c r="V201" t="s">
        <v>35</v>
      </c>
      <c r="W201">
        <v>0</v>
      </c>
      <c r="X201">
        <v>0.91304347826086896</v>
      </c>
      <c r="Y201">
        <v>0</v>
      </c>
      <c r="Z201">
        <v>2.23529411764705</v>
      </c>
      <c r="AA201">
        <v>4</v>
      </c>
      <c r="AB201">
        <v>6</v>
      </c>
      <c r="AC201">
        <v>3.8470588235294101</v>
      </c>
    </row>
    <row r="202" spans="1:29" x14ac:dyDescent="0.35">
      <c r="A202" t="s">
        <v>282</v>
      </c>
      <c r="B202" t="s">
        <v>106</v>
      </c>
      <c r="C202" s="1">
        <v>45672</v>
      </c>
      <c r="D202" t="s">
        <v>78</v>
      </c>
      <c r="E202" s="2">
        <v>0.39583333333333331</v>
      </c>
      <c r="F202" t="s">
        <v>45</v>
      </c>
      <c r="G202">
        <v>80</v>
      </c>
      <c r="H202">
        <v>79</v>
      </c>
      <c r="I202">
        <v>15</v>
      </c>
      <c r="J202">
        <v>28</v>
      </c>
      <c r="K202" t="s">
        <v>40</v>
      </c>
      <c r="L202">
        <v>0</v>
      </c>
      <c r="M202" t="s">
        <v>34</v>
      </c>
      <c r="N202">
        <v>31</v>
      </c>
      <c r="O202">
        <v>25</v>
      </c>
      <c r="P202">
        <v>9.9</v>
      </c>
      <c r="Q202">
        <v>0</v>
      </c>
      <c r="R202">
        <v>9</v>
      </c>
      <c r="S202">
        <v>1</v>
      </c>
      <c r="T202">
        <v>2</v>
      </c>
      <c r="U202">
        <v>0</v>
      </c>
      <c r="V202" t="s">
        <v>47</v>
      </c>
      <c r="W202">
        <v>0</v>
      </c>
      <c r="X202">
        <v>0.80645161290322498</v>
      </c>
      <c r="Y202">
        <v>1</v>
      </c>
      <c r="Z202">
        <v>2.8571428571428501</v>
      </c>
      <c r="AA202">
        <v>5.3333333333333304</v>
      </c>
      <c r="AB202">
        <v>1</v>
      </c>
      <c r="AC202">
        <v>9.4749999999999996</v>
      </c>
    </row>
    <row r="203" spans="1:29" x14ac:dyDescent="0.35">
      <c r="A203" t="s">
        <v>283</v>
      </c>
      <c r="B203" t="s">
        <v>60</v>
      </c>
      <c r="C203" s="1">
        <v>45670</v>
      </c>
      <c r="D203" t="s">
        <v>87</v>
      </c>
      <c r="E203" s="2">
        <v>0.58333333333333337</v>
      </c>
      <c r="F203" t="s">
        <v>61</v>
      </c>
      <c r="G203">
        <v>50</v>
      </c>
      <c r="H203">
        <v>45</v>
      </c>
      <c r="I203">
        <v>12.5</v>
      </c>
      <c r="J203">
        <v>22</v>
      </c>
      <c r="K203" t="s">
        <v>51</v>
      </c>
      <c r="L203">
        <v>0</v>
      </c>
      <c r="M203" t="s">
        <v>34</v>
      </c>
      <c r="N203">
        <v>36</v>
      </c>
      <c r="O203">
        <v>34</v>
      </c>
      <c r="P203">
        <v>1.2</v>
      </c>
      <c r="Q203">
        <v>0</v>
      </c>
      <c r="R203">
        <v>14</v>
      </c>
      <c r="S203">
        <v>1</v>
      </c>
      <c r="T203">
        <v>0</v>
      </c>
      <c r="U203">
        <v>0</v>
      </c>
      <c r="V203" t="s">
        <v>35</v>
      </c>
      <c r="W203">
        <v>0</v>
      </c>
      <c r="X203">
        <v>0.94444444444444398</v>
      </c>
      <c r="Y203">
        <v>0</v>
      </c>
      <c r="Z203">
        <v>2.2727272727272698</v>
      </c>
      <c r="AA203">
        <v>4</v>
      </c>
      <c r="AB203">
        <v>5</v>
      </c>
      <c r="AC203">
        <v>3.4760869565217298</v>
      </c>
    </row>
    <row r="204" spans="1:29" x14ac:dyDescent="0.35">
      <c r="A204" t="s">
        <v>284</v>
      </c>
      <c r="B204" t="s">
        <v>49</v>
      </c>
      <c r="C204" s="1">
        <v>45680</v>
      </c>
      <c r="D204" t="s">
        <v>54</v>
      </c>
      <c r="E204" s="2">
        <v>0.70833333333333337</v>
      </c>
      <c r="F204" t="s">
        <v>100</v>
      </c>
      <c r="G204">
        <v>77</v>
      </c>
      <c r="H204">
        <v>71</v>
      </c>
      <c r="I204">
        <v>8.1999999999999993</v>
      </c>
      <c r="J204">
        <v>15</v>
      </c>
      <c r="K204" t="s">
        <v>51</v>
      </c>
      <c r="L204">
        <v>0</v>
      </c>
      <c r="M204" t="s">
        <v>34</v>
      </c>
      <c r="N204">
        <v>39</v>
      </c>
      <c r="O204">
        <v>38</v>
      </c>
      <c r="P204">
        <v>2.7</v>
      </c>
      <c r="Q204">
        <v>0</v>
      </c>
      <c r="R204">
        <v>17</v>
      </c>
      <c r="S204">
        <v>1</v>
      </c>
      <c r="T204">
        <v>3</v>
      </c>
      <c r="U204">
        <v>0</v>
      </c>
      <c r="V204" t="s">
        <v>41</v>
      </c>
      <c r="W204">
        <v>0</v>
      </c>
      <c r="X204">
        <v>0.97435897435897401</v>
      </c>
      <c r="Y204">
        <v>0</v>
      </c>
      <c r="Z204">
        <v>5.1333333333333302</v>
      </c>
      <c r="AA204">
        <v>9.3902439024390194</v>
      </c>
      <c r="AB204">
        <v>6</v>
      </c>
      <c r="AC204">
        <v>3.6937500000000001</v>
      </c>
    </row>
    <row r="205" spans="1:29" x14ac:dyDescent="0.35">
      <c r="A205" t="s">
        <v>285</v>
      </c>
      <c r="B205" t="s">
        <v>43</v>
      </c>
      <c r="C205" s="1">
        <v>45685</v>
      </c>
      <c r="D205" t="s">
        <v>44</v>
      </c>
      <c r="E205" s="2">
        <v>0.64583333333333337</v>
      </c>
      <c r="F205" t="s">
        <v>32</v>
      </c>
      <c r="G205">
        <v>54</v>
      </c>
      <c r="H205">
        <v>51</v>
      </c>
      <c r="I205">
        <v>18.399999999999999</v>
      </c>
      <c r="J205">
        <v>32</v>
      </c>
      <c r="K205" t="s">
        <v>46</v>
      </c>
      <c r="L205">
        <v>0</v>
      </c>
      <c r="M205" t="s">
        <v>34</v>
      </c>
      <c r="N205">
        <v>31</v>
      </c>
      <c r="O205">
        <v>28</v>
      </c>
      <c r="P205">
        <v>3.8</v>
      </c>
      <c r="Q205">
        <v>0</v>
      </c>
      <c r="R205">
        <v>15</v>
      </c>
      <c r="S205">
        <v>1</v>
      </c>
      <c r="T205">
        <v>1</v>
      </c>
      <c r="U205">
        <v>0</v>
      </c>
      <c r="V205" t="s">
        <v>35</v>
      </c>
      <c r="W205">
        <v>0</v>
      </c>
      <c r="X205">
        <v>0.90322580645161199</v>
      </c>
      <c r="Y205">
        <v>0</v>
      </c>
      <c r="Z205">
        <v>1.6875</v>
      </c>
      <c r="AA205">
        <v>2.9347826086956501</v>
      </c>
      <c r="AB205">
        <v>3</v>
      </c>
      <c r="AC205">
        <v>8.6013888888888896</v>
      </c>
    </row>
    <row r="206" spans="1:29" x14ac:dyDescent="0.35">
      <c r="A206" t="s">
        <v>286</v>
      </c>
      <c r="B206" t="s">
        <v>37</v>
      </c>
      <c r="C206" s="1">
        <v>45661</v>
      </c>
      <c r="D206" t="s">
        <v>50</v>
      </c>
      <c r="E206" s="2">
        <v>0.58333333333333337</v>
      </c>
      <c r="F206" t="s">
        <v>110</v>
      </c>
      <c r="G206">
        <v>35</v>
      </c>
      <c r="H206">
        <v>30</v>
      </c>
      <c r="I206">
        <v>9.5</v>
      </c>
      <c r="J206">
        <v>17</v>
      </c>
      <c r="K206" t="s">
        <v>40</v>
      </c>
      <c r="L206">
        <v>0</v>
      </c>
      <c r="M206" t="s">
        <v>34</v>
      </c>
      <c r="N206">
        <v>30</v>
      </c>
      <c r="O206">
        <v>30</v>
      </c>
      <c r="P206">
        <v>3.8</v>
      </c>
      <c r="Q206">
        <v>0</v>
      </c>
      <c r="R206">
        <v>14</v>
      </c>
      <c r="S206">
        <v>1</v>
      </c>
      <c r="T206">
        <v>5</v>
      </c>
      <c r="U206">
        <v>1</v>
      </c>
      <c r="V206" t="s">
        <v>35</v>
      </c>
      <c r="W206">
        <v>0</v>
      </c>
      <c r="X206">
        <v>1</v>
      </c>
      <c r="Y206">
        <v>0</v>
      </c>
      <c r="Z206">
        <v>2.0588235294117601</v>
      </c>
      <c r="AA206">
        <v>3.6842105263157801</v>
      </c>
      <c r="AB206">
        <v>5</v>
      </c>
      <c r="AC206">
        <v>3.8470588235294101</v>
      </c>
    </row>
    <row r="207" spans="1:29" x14ac:dyDescent="0.35">
      <c r="A207" t="s">
        <v>287</v>
      </c>
      <c r="B207" t="s">
        <v>43</v>
      </c>
      <c r="C207" s="1">
        <v>45684</v>
      </c>
      <c r="D207" t="s">
        <v>87</v>
      </c>
      <c r="E207" s="2">
        <v>0.22916666666666666</v>
      </c>
      <c r="F207" t="s">
        <v>125</v>
      </c>
      <c r="G207">
        <v>64</v>
      </c>
      <c r="H207">
        <v>57</v>
      </c>
      <c r="I207">
        <v>18.399999999999999</v>
      </c>
      <c r="J207">
        <v>32</v>
      </c>
      <c r="K207" t="s">
        <v>46</v>
      </c>
      <c r="L207">
        <v>0</v>
      </c>
      <c r="M207" t="s">
        <v>34</v>
      </c>
      <c r="N207">
        <v>33</v>
      </c>
      <c r="O207">
        <v>27</v>
      </c>
      <c r="P207">
        <v>8.8000000000000007</v>
      </c>
      <c r="Q207">
        <v>1</v>
      </c>
      <c r="R207">
        <v>5</v>
      </c>
      <c r="S207">
        <v>1</v>
      </c>
      <c r="T207">
        <v>0</v>
      </c>
      <c r="U207">
        <v>0</v>
      </c>
      <c r="V207" t="s">
        <v>35</v>
      </c>
      <c r="W207">
        <v>0</v>
      </c>
      <c r="X207">
        <v>0.81818181818181801</v>
      </c>
      <c r="Y207">
        <v>1</v>
      </c>
      <c r="Z207">
        <v>2</v>
      </c>
      <c r="AA207">
        <v>3.4782608695652102</v>
      </c>
      <c r="AB207">
        <v>7</v>
      </c>
      <c r="AC207">
        <v>8.6013888888888896</v>
      </c>
    </row>
    <row r="208" spans="1:29" x14ac:dyDescent="0.35">
      <c r="A208" t="s">
        <v>288</v>
      </c>
      <c r="B208" t="s">
        <v>57</v>
      </c>
      <c r="C208" s="1">
        <v>45706</v>
      </c>
      <c r="D208" t="s">
        <v>44</v>
      </c>
      <c r="E208" s="2">
        <v>0.42708333333333331</v>
      </c>
      <c r="F208" t="s">
        <v>97</v>
      </c>
      <c r="G208">
        <v>45</v>
      </c>
      <c r="H208">
        <v>43</v>
      </c>
      <c r="I208">
        <v>14.2</v>
      </c>
      <c r="J208">
        <v>25</v>
      </c>
      <c r="K208" t="s">
        <v>46</v>
      </c>
      <c r="L208">
        <v>0</v>
      </c>
      <c r="M208" t="s">
        <v>34</v>
      </c>
      <c r="N208">
        <v>23</v>
      </c>
      <c r="O208">
        <v>20</v>
      </c>
      <c r="P208">
        <v>2.2999999999999998</v>
      </c>
      <c r="Q208">
        <v>0</v>
      </c>
      <c r="R208">
        <v>10</v>
      </c>
      <c r="S208">
        <v>2</v>
      </c>
      <c r="T208">
        <v>1</v>
      </c>
      <c r="U208">
        <v>0</v>
      </c>
      <c r="V208" t="s">
        <v>35</v>
      </c>
      <c r="W208">
        <v>0</v>
      </c>
      <c r="X208">
        <v>0.86956521739130399</v>
      </c>
      <c r="Y208">
        <v>0</v>
      </c>
      <c r="Z208">
        <v>1.8</v>
      </c>
      <c r="AA208">
        <v>3.1690140845070398</v>
      </c>
      <c r="AB208">
        <v>2</v>
      </c>
      <c r="AC208">
        <v>8.3255319148936096</v>
      </c>
    </row>
    <row r="209" spans="1:29" x14ac:dyDescent="0.35">
      <c r="A209" t="s">
        <v>289</v>
      </c>
      <c r="B209" t="s">
        <v>30</v>
      </c>
      <c r="C209" s="1">
        <v>45697</v>
      </c>
      <c r="D209" t="s">
        <v>31</v>
      </c>
      <c r="E209" s="2">
        <v>0.48958333333333331</v>
      </c>
      <c r="F209" t="s">
        <v>45</v>
      </c>
      <c r="G209">
        <v>30</v>
      </c>
      <c r="H209">
        <v>27</v>
      </c>
      <c r="I209">
        <v>10.1</v>
      </c>
      <c r="J209">
        <v>19</v>
      </c>
      <c r="K209" t="s">
        <v>33</v>
      </c>
      <c r="L209">
        <v>0</v>
      </c>
      <c r="M209" t="s">
        <v>34</v>
      </c>
      <c r="N209">
        <v>31</v>
      </c>
      <c r="O209">
        <v>30</v>
      </c>
      <c r="P209">
        <v>7.8</v>
      </c>
      <c r="Q209">
        <v>0</v>
      </c>
      <c r="R209">
        <v>11</v>
      </c>
      <c r="S209">
        <v>2</v>
      </c>
      <c r="T209">
        <v>6</v>
      </c>
      <c r="U209">
        <v>1</v>
      </c>
      <c r="V209" t="s">
        <v>35</v>
      </c>
      <c r="W209">
        <v>0</v>
      </c>
      <c r="X209">
        <v>0.967741935483871</v>
      </c>
      <c r="Y209">
        <v>1</v>
      </c>
      <c r="Z209">
        <v>1.57894736842105</v>
      </c>
      <c r="AA209">
        <v>2.9702970297029698</v>
      </c>
      <c r="AB209">
        <v>3</v>
      </c>
      <c r="AC209">
        <v>3.6613636363636299</v>
      </c>
    </row>
    <row r="210" spans="1:29" x14ac:dyDescent="0.35">
      <c r="A210" t="s">
        <v>290</v>
      </c>
      <c r="B210" t="s">
        <v>43</v>
      </c>
      <c r="C210" s="1">
        <v>45682</v>
      </c>
      <c r="D210" t="s">
        <v>50</v>
      </c>
      <c r="E210" s="2">
        <v>0.66666666666666663</v>
      </c>
      <c r="F210" t="s">
        <v>39</v>
      </c>
      <c r="G210">
        <v>58</v>
      </c>
      <c r="H210">
        <v>50</v>
      </c>
      <c r="I210">
        <v>18.399999999999999</v>
      </c>
      <c r="J210">
        <v>32</v>
      </c>
      <c r="K210" t="s">
        <v>46</v>
      </c>
      <c r="L210">
        <v>0</v>
      </c>
      <c r="M210" t="s">
        <v>69</v>
      </c>
      <c r="N210">
        <v>24</v>
      </c>
      <c r="O210">
        <v>19</v>
      </c>
      <c r="P210">
        <v>2.8</v>
      </c>
      <c r="Q210">
        <v>0</v>
      </c>
      <c r="R210">
        <v>16</v>
      </c>
      <c r="S210">
        <v>1</v>
      </c>
      <c r="T210">
        <v>5</v>
      </c>
      <c r="U210">
        <v>1</v>
      </c>
      <c r="V210" t="s">
        <v>35</v>
      </c>
      <c r="W210">
        <v>1</v>
      </c>
      <c r="X210">
        <v>0.79166666666666596</v>
      </c>
      <c r="Y210">
        <v>0</v>
      </c>
      <c r="Z210">
        <v>1.8125</v>
      </c>
      <c r="AA210">
        <v>3.1521739130434701</v>
      </c>
      <c r="AB210">
        <v>8</v>
      </c>
      <c r="AC210">
        <v>8.6013888888888896</v>
      </c>
    </row>
    <row r="211" spans="1:29" x14ac:dyDescent="0.35">
      <c r="A211" t="s">
        <v>291</v>
      </c>
      <c r="B211" t="s">
        <v>60</v>
      </c>
      <c r="C211" s="1">
        <v>45701</v>
      </c>
      <c r="D211" t="s">
        <v>54</v>
      </c>
      <c r="E211" s="2">
        <v>0.30208333333333331</v>
      </c>
      <c r="F211" t="s">
        <v>110</v>
      </c>
      <c r="G211">
        <v>97</v>
      </c>
      <c r="H211">
        <v>97</v>
      </c>
      <c r="I211">
        <v>12.5</v>
      </c>
      <c r="J211">
        <v>22</v>
      </c>
      <c r="K211" t="s">
        <v>51</v>
      </c>
      <c r="L211">
        <v>0</v>
      </c>
      <c r="M211" t="s">
        <v>34</v>
      </c>
      <c r="N211">
        <v>32</v>
      </c>
      <c r="O211">
        <v>32</v>
      </c>
      <c r="P211">
        <v>9.5</v>
      </c>
      <c r="Q211">
        <v>0</v>
      </c>
      <c r="R211">
        <v>7</v>
      </c>
      <c r="S211">
        <v>2</v>
      </c>
      <c r="T211">
        <v>3</v>
      </c>
      <c r="U211">
        <v>0</v>
      </c>
      <c r="V211" t="s">
        <v>47</v>
      </c>
      <c r="W211">
        <v>0</v>
      </c>
      <c r="X211">
        <v>1</v>
      </c>
      <c r="Y211">
        <v>1</v>
      </c>
      <c r="Z211">
        <v>4.4090909090909003</v>
      </c>
      <c r="AA211">
        <v>7.76</v>
      </c>
      <c r="AB211">
        <v>0</v>
      </c>
      <c r="AC211">
        <v>3.4760869565217298</v>
      </c>
    </row>
    <row r="212" spans="1:29" x14ac:dyDescent="0.35">
      <c r="A212" t="s">
        <v>292</v>
      </c>
      <c r="B212" t="s">
        <v>106</v>
      </c>
      <c r="C212" s="1">
        <v>45687</v>
      </c>
      <c r="D212" t="s">
        <v>54</v>
      </c>
      <c r="E212" s="2">
        <v>0.41666666666666669</v>
      </c>
      <c r="F212" t="s">
        <v>32</v>
      </c>
      <c r="G212">
        <v>55</v>
      </c>
      <c r="H212">
        <v>50</v>
      </c>
      <c r="I212">
        <v>15</v>
      </c>
      <c r="J212">
        <v>28</v>
      </c>
      <c r="K212" t="s">
        <v>40</v>
      </c>
      <c r="L212">
        <v>0</v>
      </c>
      <c r="M212" t="s">
        <v>34</v>
      </c>
      <c r="N212">
        <v>34</v>
      </c>
      <c r="O212">
        <v>29</v>
      </c>
      <c r="P212">
        <v>9.1</v>
      </c>
      <c r="Q212">
        <v>1</v>
      </c>
      <c r="R212">
        <v>10</v>
      </c>
      <c r="S212">
        <v>1</v>
      </c>
      <c r="T212">
        <v>3</v>
      </c>
      <c r="U212">
        <v>0</v>
      </c>
      <c r="V212" t="s">
        <v>35</v>
      </c>
      <c r="W212">
        <v>0</v>
      </c>
      <c r="X212">
        <v>0.85294117647058798</v>
      </c>
      <c r="Y212">
        <v>1</v>
      </c>
      <c r="Z212">
        <v>1.96428571428571</v>
      </c>
      <c r="AA212">
        <v>3.6666666666666599</v>
      </c>
      <c r="AB212">
        <v>5</v>
      </c>
      <c r="AC212">
        <v>9.4749999999999996</v>
      </c>
    </row>
    <row r="213" spans="1:29" x14ac:dyDescent="0.35">
      <c r="A213" t="s">
        <v>293</v>
      </c>
      <c r="B213" t="s">
        <v>60</v>
      </c>
      <c r="C213" s="1">
        <v>45687</v>
      </c>
      <c r="D213" t="s">
        <v>54</v>
      </c>
      <c r="E213" s="2">
        <v>0.67708333333333337</v>
      </c>
      <c r="F213" t="s">
        <v>58</v>
      </c>
      <c r="G213">
        <v>34</v>
      </c>
      <c r="H213">
        <v>30</v>
      </c>
      <c r="I213">
        <v>12.5</v>
      </c>
      <c r="J213">
        <v>22</v>
      </c>
      <c r="K213" t="s">
        <v>51</v>
      </c>
      <c r="L213">
        <v>0</v>
      </c>
      <c r="M213" t="s">
        <v>34</v>
      </c>
      <c r="N213">
        <v>25</v>
      </c>
      <c r="O213">
        <v>24</v>
      </c>
      <c r="P213">
        <v>1.9</v>
      </c>
      <c r="Q213">
        <v>0</v>
      </c>
      <c r="R213">
        <v>16</v>
      </c>
      <c r="S213">
        <v>1</v>
      </c>
      <c r="T213">
        <v>3</v>
      </c>
      <c r="U213">
        <v>0</v>
      </c>
      <c r="V213" t="s">
        <v>35</v>
      </c>
      <c r="W213">
        <v>0</v>
      </c>
      <c r="X213">
        <v>0.96</v>
      </c>
      <c r="Y213">
        <v>0</v>
      </c>
      <c r="Z213">
        <v>1.5454545454545401</v>
      </c>
      <c r="AA213">
        <v>2.72</v>
      </c>
      <c r="AB213">
        <v>4</v>
      </c>
      <c r="AC213">
        <v>3.4760869565217298</v>
      </c>
    </row>
    <row r="214" spans="1:29" x14ac:dyDescent="0.35">
      <c r="A214" t="s">
        <v>294</v>
      </c>
      <c r="B214" t="s">
        <v>72</v>
      </c>
      <c r="C214" s="1">
        <v>45671</v>
      </c>
      <c r="D214" t="s">
        <v>44</v>
      </c>
      <c r="E214" s="2">
        <v>0.35416666666666669</v>
      </c>
      <c r="F214" t="s">
        <v>110</v>
      </c>
      <c r="G214">
        <v>67</v>
      </c>
      <c r="H214">
        <v>59</v>
      </c>
      <c r="I214">
        <v>11.6</v>
      </c>
      <c r="J214">
        <v>21</v>
      </c>
      <c r="K214" t="s">
        <v>33</v>
      </c>
      <c r="L214">
        <v>1</v>
      </c>
      <c r="M214" t="s">
        <v>34</v>
      </c>
      <c r="N214">
        <v>23</v>
      </c>
      <c r="O214">
        <v>22</v>
      </c>
      <c r="P214">
        <v>0.8</v>
      </c>
      <c r="Q214">
        <v>0</v>
      </c>
      <c r="R214">
        <v>8</v>
      </c>
      <c r="S214">
        <v>1</v>
      </c>
      <c r="T214">
        <v>1</v>
      </c>
      <c r="U214">
        <v>0</v>
      </c>
      <c r="V214" t="s">
        <v>47</v>
      </c>
      <c r="W214">
        <v>0</v>
      </c>
      <c r="X214">
        <v>0.95652173913043403</v>
      </c>
      <c r="Y214">
        <v>0</v>
      </c>
      <c r="Z214">
        <v>3.1904761904761898</v>
      </c>
      <c r="AA214">
        <v>5.7758620689655098</v>
      </c>
      <c r="AB214">
        <v>8</v>
      </c>
      <c r="AC214">
        <v>2.80217391304347</v>
      </c>
    </row>
    <row r="215" spans="1:29" x14ac:dyDescent="0.35">
      <c r="A215" t="s">
        <v>295</v>
      </c>
      <c r="B215" t="s">
        <v>37</v>
      </c>
      <c r="C215" s="1">
        <v>45712</v>
      </c>
      <c r="D215" t="s">
        <v>87</v>
      </c>
      <c r="E215" s="2">
        <v>0.26041666666666669</v>
      </c>
      <c r="F215" t="s">
        <v>73</v>
      </c>
      <c r="G215">
        <v>48</v>
      </c>
      <c r="H215">
        <v>47</v>
      </c>
      <c r="I215">
        <v>9.5</v>
      </c>
      <c r="J215">
        <v>17</v>
      </c>
      <c r="K215" t="s">
        <v>40</v>
      </c>
      <c r="L215">
        <v>0</v>
      </c>
      <c r="M215" t="s">
        <v>34</v>
      </c>
      <c r="N215">
        <v>23</v>
      </c>
      <c r="O215">
        <v>22</v>
      </c>
      <c r="P215">
        <v>1.1000000000000001</v>
      </c>
      <c r="Q215">
        <v>0</v>
      </c>
      <c r="R215">
        <v>6</v>
      </c>
      <c r="S215">
        <v>2</v>
      </c>
      <c r="T215">
        <v>0</v>
      </c>
      <c r="U215">
        <v>0</v>
      </c>
      <c r="V215" t="s">
        <v>35</v>
      </c>
      <c r="W215">
        <v>0</v>
      </c>
      <c r="X215">
        <v>0.95652173913043403</v>
      </c>
      <c r="Y215">
        <v>0</v>
      </c>
      <c r="Z215">
        <v>2.8235294117646998</v>
      </c>
      <c r="AA215">
        <v>5.0526315789473601</v>
      </c>
      <c r="AB215">
        <v>1</v>
      </c>
      <c r="AC215">
        <v>3.8470588235294101</v>
      </c>
    </row>
    <row r="216" spans="1:29" x14ac:dyDescent="0.35">
      <c r="A216" t="s">
        <v>296</v>
      </c>
      <c r="B216" t="s">
        <v>60</v>
      </c>
      <c r="C216" s="1">
        <v>45691</v>
      </c>
      <c r="D216" t="s">
        <v>87</v>
      </c>
      <c r="E216" s="2">
        <v>0.47916666666666669</v>
      </c>
      <c r="F216" t="s">
        <v>68</v>
      </c>
      <c r="G216">
        <v>45</v>
      </c>
      <c r="H216">
        <v>41</v>
      </c>
      <c r="I216">
        <v>12.5</v>
      </c>
      <c r="J216">
        <v>22</v>
      </c>
      <c r="K216" t="s">
        <v>51</v>
      </c>
      <c r="L216">
        <v>0</v>
      </c>
      <c r="M216" t="s">
        <v>34</v>
      </c>
      <c r="N216">
        <v>30</v>
      </c>
      <c r="O216">
        <v>30</v>
      </c>
      <c r="P216">
        <v>0.3</v>
      </c>
      <c r="Q216">
        <v>0</v>
      </c>
      <c r="R216">
        <v>11</v>
      </c>
      <c r="S216">
        <v>2</v>
      </c>
      <c r="T216">
        <v>0</v>
      </c>
      <c r="U216">
        <v>0</v>
      </c>
      <c r="V216" t="s">
        <v>35</v>
      </c>
      <c r="W216">
        <v>0</v>
      </c>
      <c r="X216">
        <v>1</v>
      </c>
      <c r="Y216">
        <v>0</v>
      </c>
      <c r="Z216">
        <v>2.0454545454545401</v>
      </c>
      <c r="AA216">
        <v>3.6</v>
      </c>
      <c r="AB216">
        <v>4</v>
      </c>
      <c r="AC216">
        <v>3.4760869565217298</v>
      </c>
    </row>
    <row r="217" spans="1:29" x14ac:dyDescent="0.35">
      <c r="A217" t="s">
        <v>297</v>
      </c>
      <c r="B217" t="s">
        <v>102</v>
      </c>
      <c r="C217" s="1">
        <v>45680</v>
      </c>
      <c r="D217" t="s">
        <v>54</v>
      </c>
      <c r="E217" s="2">
        <v>0.85416666666666663</v>
      </c>
      <c r="F217" t="s">
        <v>84</v>
      </c>
      <c r="G217">
        <v>35</v>
      </c>
      <c r="H217">
        <v>31</v>
      </c>
      <c r="I217">
        <v>7.3</v>
      </c>
      <c r="J217">
        <v>13</v>
      </c>
      <c r="K217" t="s">
        <v>66</v>
      </c>
      <c r="L217">
        <v>0</v>
      </c>
      <c r="M217" t="s">
        <v>34</v>
      </c>
      <c r="N217">
        <v>20</v>
      </c>
      <c r="O217">
        <v>19</v>
      </c>
      <c r="P217">
        <v>3.1</v>
      </c>
      <c r="Q217">
        <v>0</v>
      </c>
      <c r="R217">
        <v>20</v>
      </c>
      <c r="S217">
        <v>1</v>
      </c>
      <c r="T217">
        <v>3</v>
      </c>
      <c r="U217">
        <v>0</v>
      </c>
      <c r="V217" t="s">
        <v>35</v>
      </c>
      <c r="W217">
        <v>0</v>
      </c>
      <c r="X217">
        <v>0.95</v>
      </c>
      <c r="Y217">
        <v>0</v>
      </c>
      <c r="Z217">
        <v>2.6923076923076898</v>
      </c>
      <c r="AA217">
        <v>4.7945205479451998</v>
      </c>
      <c r="AB217">
        <v>4</v>
      </c>
      <c r="AC217">
        <v>4.0518518518518496</v>
      </c>
    </row>
    <row r="218" spans="1:29" x14ac:dyDescent="0.35">
      <c r="A218" t="s">
        <v>298</v>
      </c>
      <c r="B218" t="s">
        <v>60</v>
      </c>
      <c r="C218" s="1">
        <v>45668</v>
      </c>
      <c r="D218" t="s">
        <v>50</v>
      </c>
      <c r="E218" s="2">
        <v>0.75</v>
      </c>
      <c r="F218" t="s">
        <v>100</v>
      </c>
      <c r="G218">
        <v>95</v>
      </c>
      <c r="H218">
        <v>83</v>
      </c>
      <c r="I218">
        <v>12.5</v>
      </c>
      <c r="J218">
        <v>22</v>
      </c>
      <c r="K218" t="s">
        <v>51</v>
      </c>
      <c r="L218">
        <v>0</v>
      </c>
      <c r="M218" t="s">
        <v>52</v>
      </c>
      <c r="N218">
        <v>39</v>
      </c>
      <c r="O218">
        <v>37</v>
      </c>
      <c r="P218">
        <v>1.4</v>
      </c>
      <c r="Q218">
        <v>0</v>
      </c>
      <c r="R218">
        <v>18</v>
      </c>
      <c r="S218">
        <v>1</v>
      </c>
      <c r="T218">
        <v>5</v>
      </c>
      <c r="U218">
        <v>1</v>
      </c>
      <c r="V218" t="s">
        <v>41</v>
      </c>
      <c r="W218">
        <v>1</v>
      </c>
      <c r="X218">
        <v>0.94871794871794801</v>
      </c>
      <c r="Y218">
        <v>0</v>
      </c>
      <c r="Z218">
        <v>4.3181818181818103</v>
      </c>
      <c r="AA218">
        <v>7.6</v>
      </c>
      <c r="AB218">
        <v>12</v>
      </c>
      <c r="AC218">
        <v>3.4760869565217298</v>
      </c>
    </row>
    <row r="219" spans="1:29" x14ac:dyDescent="0.35">
      <c r="A219" t="s">
        <v>299</v>
      </c>
      <c r="B219" t="s">
        <v>37</v>
      </c>
      <c r="C219" s="1">
        <v>45700</v>
      </c>
      <c r="D219" t="s">
        <v>78</v>
      </c>
      <c r="E219" s="2">
        <v>0.47916666666666669</v>
      </c>
      <c r="F219" t="s">
        <v>45</v>
      </c>
      <c r="G219">
        <v>48</v>
      </c>
      <c r="H219">
        <v>45</v>
      </c>
      <c r="I219">
        <v>9.5</v>
      </c>
      <c r="J219">
        <v>17</v>
      </c>
      <c r="K219" t="s">
        <v>40</v>
      </c>
      <c r="L219">
        <v>0</v>
      </c>
      <c r="M219" t="s">
        <v>34</v>
      </c>
      <c r="N219">
        <v>37</v>
      </c>
      <c r="O219">
        <v>36</v>
      </c>
      <c r="P219">
        <v>3.1</v>
      </c>
      <c r="Q219">
        <v>0</v>
      </c>
      <c r="R219">
        <v>11</v>
      </c>
      <c r="S219">
        <v>2</v>
      </c>
      <c r="T219">
        <v>2</v>
      </c>
      <c r="U219">
        <v>0</v>
      </c>
      <c r="V219" t="s">
        <v>35</v>
      </c>
      <c r="W219">
        <v>0</v>
      </c>
      <c r="X219">
        <v>0.97297297297297303</v>
      </c>
      <c r="Y219">
        <v>0</v>
      </c>
      <c r="Z219">
        <v>2.8235294117646998</v>
      </c>
      <c r="AA219">
        <v>5.0526315789473601</v>
      </c>
      <c r="AB219">
        <v>3</v>
      </c>
      <c r="AC219">
        <v>3.8470588235294101</v>
      </c>
    </row>
    <row r="220" spans="1:29" x14ac:dyDescent="0.35">
      <c r="A220" t="s">
        <v>300</v>
      </c>
      <c r="B220" t="s">
        <v>106</v>
      </c>
      <c r="C220" s="1">
        <v>45692</v>
      </c>
      <c r="D220" t="s">
        <v>44</v>
      </c>
      <c r="E220" s="2">
        <v>0.6875</v>
      </c>
      <c r="F220" t="s">
        <v>68</v>
      </c>
      <c r="G220">
        <v>48</v>
      </c>
      <c r="H220">
        <v>43</v>
      </c>
      <c r="I220">
        <v>15</v>
      </c>
      <c r="J220">
        <v>28</v>
      </c>
      <c r="K220" t="s">
        <v>40</v>
      </c>
      <c r="L220">
        <v>0</v>
      </c>
      <c r="M220" t="s">
        <v>34</v>
      </c>
      <c r="N220">
        <v>39</v>
      </c>
      <c r="O220">
        <v>37</v>
      </c>
      <c r="P220">
        <v>3.4</v>
      </c>
      <c r="Q220">
        <v>0</v>
      </c>
      <c r="R220">
        <v>16</v>
      </c>
      <c r="S220">
        <v>2</v>
      </c>
      <c r="T220">
        <v>1</v>
      </c>
      <c r="U220">
        <v>0</v>
      </c>
      <c r="V220" t="s">
        <v>35</v>
      </c>
      <c r="W220">
        <v>0</v>
      </c>
      <c r="X220">
        <v>0.94871794871794801</v>
      </c>
      <c r="Y220">
        <v>0</v>
      </c>
      <c r="Z220">
        <v>1.71428571428571</v>
      </c>
      <c r="AA220">
        <v>3.2</v>
      </c>
      <c r="AB220">
        <v>5</v>
      </c>
      <c r="AC220">
        <v>9.4749999999999996</v>
      </c>
    </row>
    <row r="221" spans="1:29" x14ac:dyDescent="0.35">
      <c r="A221" t="s">
        <v>301</v>
      </c>
      <c r="B221" t="s">
        <v>43</v>
      </c>
      <c r="C221" s="1">
        <v>45665</v>
      </c>
      <c r="D221" t="s">
        <v>78</v>
      </c>
      <c r="E221" s="2">
        <v>0.41666666666666669</v>
      </c>
      <c r="F221" t="s">
        <v>39</v>
      </c>
      <c r="G221">
        <v>87</v>
      </c>
      <c r="H221">
        <v>87</v>
      </c>
      <c r="I221">
        <v>18.399999999999999</v>
      </c>
      <c r="J221">
        <v>32</v>
      </c>
      <c r="K221" t="s">
        <v>46</v>
      </c>
      <c r="L221">
        <v>0</v>
      </c>
      <c r="M221" t="s">
        <v>34</v>
      </c>
      <c r="N221">
        <v>25</v>
      </c>
      <c r="O221">
        <v>24</v>
      </c>
      <c r="P221">
        <v>8.8000000000000007</v>
      </c>
      <c r="Q221">
        <v>1</v>
      </c>
      <c r="R221">
        <v>10</v>
      </c>
      <c r="S221">
        <v>1</v>
      </c>
      <c r="T221">
        <v>2</v>
      </c>
      <c r="U221">
        <v>0</v>
      </c>
      <c r="V221" t="s">
        <v>35</v>
      </c>
      <c r="W221">
        <v>0</v>
      </c>
      <c r="X221">
        <v>0.96</v>
      </c>
      <c r="Y221">
        <v>1</v>
      </c>
      <c r="Z221">
        <v>2.71875</v>
      </c>
      <c r="AA221">
        <v>4.7282608695652097</v>
      </c>
      <c r="AB221">
        <v>0</v>
      </c>
      <c r="AC221">
        <v>8.6013888888888896</v>
      </c>
    </row>
    <row r="222" spans="1:29" x14ac:dyDescent="0.35">
      <c r="A222" t="s">
        <v>302</v>
      </c>
      <c r="B222" t="s">
        <v>43</v>
      </c>
      <c r="C222" s="1">
        <v>45667</v>
      </c>
      <c r="D222" t="s">
        <v>38</v>
      </c>
      <c r="E222" s="2">
        <v>0.44791666666666669</v>
      </c>
      <c r="F222" t="s">
        <v>39</v>
      </c>
      <c r="G222">
        <v>76</v>
      </c>
      <c r="H222">
        <v>75</v>
      </c>
      <c r="I222">
        <v>18.399999999999999</v>
      </c>
      <c r="J222">
        <v>32</v>
      </c>
      <c r="K222" t="s">
        <v>46</v>
      </c>
      <c r="L222">
        <v>0</v>
      </c>
      <c r="M222" t="s">
        <v>34</v>
      </c>
      <c r="N222">
        <v>28</v>
      </c>
      <c r="O222">
        <v>23</v>
      </c>
      <c r="P222">
        <v>8.8000000000000007</v>
      </c>
      <c r="Q222">
        <v>1</v>
      </c>
      <c r="R222">
        <v>10</v>
      </c>
      <c r="S222">
        <v>1</v>
      </c>
      <c r="T222">
        <v>4</v>
      </c>
      <c r="U222">
        <v>0</v>
      </c>
      <c r="V222" t="s">
        <v>35</v>
      </c>
      <c r="W222">
        <v>0</v>
      </c>
      <c r="X222">
        <v>0.82142857142857095</v>
      </c>
      <c r="Y222">
        <v>1</v>
      </c>
      <c r="Z222">
        <v>2.375</v>
      </c>
      <c r="AA222">
        <v>4.13043478260869</v>
      </c>
      <c r="AB222">
        <v>1</v>
      </c>
      <c r="AC222">
        <v>8.6013888888888896</v>
      </c>
    </row>
    <row r="223" spans="1:29" x14ac:dyDescent="0.35">
      <c r="A223" t="s">
        <v>303</v>
      </c>
      <c r="B223" t="s">
        <v>57</v>
      </c>
      <c r="C223" s="1">
        <v>45698</v>
      </c>
      <c r="D223" t="s">
        <v>87</v>
      </c>
      <c r="E223" s="2">
        <v>0.48958333333333331</v>
      </c>
      <c r="F223" t="s">
        <v>45</v>
      </c>
      <c r="G223">
        <v>42</v>
      </c>
      <c r="H223">
        <v>40</v>
      </c>
      <c r="I223">
        <v>14.2</v>
      </c>
      <c r="J223">
        <v>25</v>
      </c>
      <c r="K223" t="s">
        <v>46</v>
      </c>
      <c r="L223">
        <v>0</v>
      </c>
      <c r="M223" t="s">
        <v>34</v>
      </c>
      <c r="N223">
        <v>23</v>
      </c>
      <c r="O223">
        <v>21</v>
      </c>
      <c r="P223">
        <v>6.2</v>
      </c>
      <c r="Q223">
        <v>0</v>
      </c>
      <c r="R223">
        <v>11</v>
      </c>
      <c r="S223">
        <v>2</v>
      </c>
      <c r="T223">
        <v>0</v>
      </c>
      <c r="U223">
        <v>0</v>
      </c>
      <c r="V223" t="s">
        <v>35</v>
      </c>
      <c r="W223">
        <v>0</v>
      </c>
      <c r="X223">
        <v>0.91304347826086896</v>
      </c>
      <c r="Y223">
        <v>1</v>
      </c>
      <c r="Z223">
        <v>1.68</v>
      </c>
      <c r="AA223">
        <v>2.9577464788732302</v>
      </c>
      <c r="AB223">
        <v>2</v>
      </c>
      <c r="AC223">
        <v>8.3255319148936096</v>
      </c>
    </row>
    <row r="224" spans="1:29" x14ac:dyDescent="0.35">
      <c r="A224" t="s">
        <v>304</v>
      </c>
      <c r="B224" t="s">
        <v>106</v>
      </c>
      <c r="C224" s="1">
        <v>45707</v>
      </c>
      <c r="D224" t="s">
        <v>78</v>
      </c>
      <c r="E224" s="2">
        <v>0.82291666666666663</v>
      </c>
      <c r="F224" t="s">
        <v>68</v>
      </c>
      <c r="G224">
        <v>100</v>
      </c>
      <c r="H224">
        <v>88</v>
      </c>
      <c r="I224">
        <v>15</v>
      </c>
      <c r="J224">
        <v>28</v>
      </c>
      <c r="K224" t="s">
        <v>40</v>
      </c>
      <c r="L224">
        <v>0</v>
      </c>
      <c r="M224" t="s">
        <v>34</v>
      </c>
      <c r="N224">
        <v>25</v>
      </c>
      <c r="O224">
        <v>21</v>
      </c>
      <c r="P224">
        <v>9.1</v>
      </c>
      <c r="Q224">
        <v>1</v>
      </c>
      <c r="R224">
        <v>19</v>
      </c>
      <c r="S224">
        <v>2</v>
      </c>
      <c r="T224">
        <v>2</v>
      </c>
      <c r="U224">
        <v>0</v>
      </c>
      <c r="V224" t="s">
        <v>41</v>
      </c>
      <c r="W224">
        <v>0</v>
      </c>
      <c r="X224">
        <v>0.84</v>
      </c>
      <c r="Y224">
        <v>1</v>
      </c>
      <c r="Z224">
        <v>3.5714285714285698</v>
      </c>
      <c r="AA224">
        <v>6.6666666666666599</v>
      </c>
      <c r="AB224">
        <v>12</v>
      </c>
      <c r="AC224">
        <v>9.4749999999999996</v>
      </c>
    </row>
    <row r="225" spans="1:29" x14ac:dyDescent="0.35">
      <c r="A225" t="s">
        <v>305</v>
      </c>
      <c r="B225" t="s">
        <v>60</v>
      </c>
      <c r="C225" s="1">
        <v>45711</v>
      </c>
      <c r="D225" t="s">
        <v>31</v>
      </c>
      <c r="E225" s="2">
        <v>0.69791666666666663</v>
      </c>
      <c r="F225" t="s">
        <v>100</v>
      </c>
      <c r="G225">
        <v>26</v>
      </c>
      <c r="H225">
        <v>23</v>
      </c>
      <c r="I225">
        <v>12.5</v>
      </c>
      <c r="J225">
        <v>22</v>
      </c>
      <c r="K225" t="s">
        <v>51</v>
      </c>
      <c r="L225">
        <v>0</v>
      </c>
      <c r="M225" t="s">
        <v>34</v>
      </c>
      <c r="N225">
        <v>18</v>
      </c>
      <c r="O225">
        <v>18</v>
      </c>
      <c r="P225">
        <v>2.7</v>
      </c>
      <c r="Q225">
        <v>1</v>
      </c>
      <c r="R225">
        <v>16</v>
      </c>
      <c r="S225">
        <v>2</v>
      </c>
      <c r="T225">
        <v>6</v>
      </c>
      <c r="U225">
        <v>1</v>
      </c>
      <c r="V225" t="s">
        <v>35</v>
      </c>
      <c r="W225">
        <v>0</v>
      </c>
      <c r="X225">
        <v>1</v>
      </c>
      <c r="Y225">
        <v>0</v>
      </c>
      <c r="Z225">
        <v>1.1818181818181801</v>
      </c>
      <c r="AA225">
        <v>2.08</v>
      </c>
      <c r="AB225">
        <v>3</v>
      </c>
      <c r="AC225">
        <v>3.4760869565217298</v>
      </c>
    </row>
    <row r="226" spans="1:29" x14ac:dyDescent="0.35">
      <c r="A226" t="s">
        <v>306</v>
      </c>
      <c r="B226" t="s">
        <v>49</v>
      </c>
      <c r="C226" s="1">
        <v>45662</v>
      </c>
      <c r="D226" t="s">
        <v>31</v>
      </c>
      <c r="E226" s="2">
        <v>0.45833333333333331</v>
      </c>
      <c r="F226" t="s">
        <v>68</v>
      </c>
      <c r="G226">
        <v>23</v>
      </c>
      <c r="H226">
        <v>21</v>
      </c>
      <c r="I226">
        <v>8.1999999999999993</v>
      </c>
      <c r="J226">
        <v>15</v>
      </c>
      <c r="K226" t="s">
        <v>51</v>
      </c>
      <c r="L226">
        <v>0</v>
      </c>
      <c r="M226" t="s">
        <v>34</v>
      </c>
      <c r="N226">
        <v>25</v>
      </c>
      <c r="O226">
        <v>25</v>
      </c>
      <c r="P226">
        <v>0.5</v>
      </c>
      <c r="Q226">
        <v>0</v>
      </c>
      <c r="R226">
        <v>11</v>
      </c>
      <c r="S226">
        <v>1</v>
      </c>
      <c r="T226">
        <v>6</v>
      </c>
      <c r="U226">
        <v>1</v>
      </c>
      <c r="V226" t="s">
        <v>35</v>
      </c>
      <c r="W226">
        <v>0</v>
      </c>
      <c r="X226">
        <v>1</v>
      </c>
      <c r="Y226">
        <v>0</v>
      </c>
      <c r="Z226">
        <v>1.5333333333333301</v>
      </c>
      <c r="AA226">
        <v>2.8048780487804801</v>
      </c>
      <c r="AB226">
        <v>2</v>
      </c>
      <c r="AC226">
        <v>3.6937500000000001</v>
      </c>
    </row>
    <row r="227" spans="1:29" x14ac:dyDescent="0.35">
      <c r="A227" t="s">
        <v>307</v>
      </c>
      <c r="B227" t="s">
        <v>102</v>
      </c>
      <c r="C227" s="1">
        <v>45717</v>
      </c>
      <c r="D227" t="s">
        <v>50</v>
      </c>
      <c r="E227" s="2">
        <v>0.75</v>
      </c>
      <c r="F227" t="s">
        <v>80</v>
      </c>
      <c r="G227">
        <v>42</v>
      </c>
      <c r="H227">
        <v>38</v>
      </c>
      <c r="I227">
        <v>7.3</v>
      </c>
      <c r="J227">
        <v>13</v>
      </c>
      <c r="K227" t="s">
        <v>66</v>
      </c>
      <c r="L227">
        <v>0</v>
      </c>
      <c r="M227" t="s">
        <v>34</v>
      </c>
      <c r="N227">
        <v>26</v>
      </c>
      <c r="O227">
        <v>24</v>
      </c>
      <c r="P227">
        <v>1.8</v>
      </c>
      <c r="Q227">
        <v>0</v>
      </c>
      <c r="R227">
        <v>18</v>
      </c>
      <c r="S227">
        <v>3</v>
      </c>
      <c r="T227">
        <v>5</v>
      </c>
      <c r="U227">
        <v>1</v>
      </c>
      <c r="V227" t="s">
        <v>41</v>
      </c>
      <c r="W227">
        <v>0</v>
      </c>
      <c r="X227">
        <v>0.92307692307692302</v>
      </c>
      <c r="Y227">
        <v>0</v>
      </c>
      <c r="Z227">
        <v>3.2307692307692299</v>
      </c>
      <c r="AA227">
        <v>5.7534246575342403</v>
      </c>
      <c r="AB227">
        <v>4</v>
      </c>
      <c r="AC227">
        <v>4.0518518518518496</v>
      </c>
    </row>
    <row r="228" spans="1:29" x14ac:dyDescent="0.35">
      <c r="A228" t="s">
        <v>308</v>
      </c>
      <c r="B228" t="s">
        <v>37</v>
      </c>
      <c r="C228" s="1">
        <v>45678</v>
      </c>
      <c r="D228" t="s">
        <v>44</v>
      </c>
      <c r="E228" s="2">
        <v>0.625</v>
      </c>
      <c r="F228" t="s">
        <v>32</v>
      </c>
      <c r="G228">
        <v>50</v>
      </c>
      <c r="H228">
        <v>49</v>
      </c>
      <c r="I228">
        <v>9.5</v>
      </c>
      <c r="J228">
        <v>17</v>
      </c>
      <c r="K228" t="s">
        <v>40</v>
      </c>
      <c r="L228">
        <v>0</v>
      </c>
      <c r="M228" t="s">
        <v>34</v>
      </c>
      <c r="N228">
        <v>24</v>
      </c>
      <c r="O228">
        <v>23</v>
      </c>
      <c r="P228">
        <v>2.5</v>
      </c>
      <c r="Q228">
        <v>0</v>
      </c>
      <c r="R228">
        <v>15</v>
      </c>
      <c r="S228">
        <v>1</v>
      </c>
      <c r="T228">
        <v>1</v>
      </c>
      <c r="U228">
        <v>0</v>
      </c>
      <c r="V228" t="s">
        <v>35</v>
      </c>
      <c r="W228">
        <v>0</v>
      </c>
      <c r="X228">
        <v>0.95833333333333304</v>
      </c>
      <c r="Y228">
        <v>0</v>
      </c>
      <c r="Z228">
        <v>2.9411764705882302</v>
      </c>
      <c r="AA228">
        <v>5.2631578947368398</v>
      </c>
      <c r="AB228">
        <v>1</v>
      </c>
      <c r="AC228">
        <v>3.8470588235294101</v>
      </c>
    </row>
    <row r="229" spans="1:29" x14ac:dyDescent="0.35">
      <c r="A229" t="s">
        <v>309</v>
      </c>
      <c r="B229" t="s">
        <v>43</v>
      </c>
      <c r="C229" s="1">
        <v>45659</v>
      </c>
      <c r="D229" t="s">
        <v>54</v>
      </c>
      <c r="E229" s="2">
        <v>0.32291666666666669</v>
      </c>
      <c r="F229" t="s">
        <v>89</v>
      </c>
      <c r="G229">
        <v>91</v>
      </c>
      <c r="H229">
        <v>83</v>
      </c>
      <c r="I229">
        <v>18.399999999999999</v>
      </c>
      <c r="J229">
        <v>32</v>
      </c>
      <c r="K229" t="s">
        <v>46</v>
      </c>
      <c r="L229">
        <v>0</v>
      </c>
      <c r="M229" t="s">
        <v>34</v>
      </c>
      <c r="N229">
        <v>38</v>
      </c>
      <c r="O229">
        <v>34</v>
      </c>
      <c r="P229">
        <v>1.8</v>
      </c>
      <c r="Q229">
        <v>0</v>
      </c>
      <c r="R229">
        <v>7</v>
      </c>
      <c r="S229">
        <v>1</v>
      </c>
      <c r="T229">
        <v>3</v>
      </c>
      <c r="U229">
        <v>0</v>
      </c>
      <c r="V229" t="s">
        <v>47</v>
      </c>
      <c r="W229">
        <v>0</v>
      </c>
      <c r="X229">
        <v>0.89473684210526305</v>
      </c>
      <c r="Y229">
        <v>0</v>
      </c>
      <c r="Z229">
        <v>2.84375</v>
      </c>
      <c r="AA229">
        <v>4.9456521739130404</v>
      </c>
      <c r="AB229">
        <v>8</v>
      </c>
      <c r="AC229">
        <v>8.6013888888888896</v>
      </c>
    </row>
    <row r="230" spans="1:29" x14ac:dyDescent="0.35">
      <c r="A230" t="s">
        <v>310</v>
      </c>
      <c r="B230" t="s">
        <v>72</v>
      </c>
      <c r="C230" s="1">
        <v>45666</v>
      </c>
      <c r="D230" t="s">
        <v>54</v>
      </c>
      <c r="E230" s="2">
        <v>0.34375</v>
      </c>
      <c r="F230" t="s">
        <v>32</v>
      </c>
      <c r="G230">
        <v>104</v>
      </c>
      <c r="H230">
        <v>98</v>
      </c>
      <c r="I230">
        <v>11.6</v>
      </c>
      <c r="J230">
        <v>21</v>
      </c>
      <c r="K230" t="s">
        <v>33</v>
      </c>
      <c r="L230">
        <v>0</v>
      </c>
      <c r="M230" t="s">
        <v>34</v>
      </c>
      <c r="N230">
        <v>30</v>
      </c>
      <c r="O230">
        <v>30</v>
      </c>
      <c r="P230">
        <v>1.5</v>
      </c>
      <c r="Q230">
        <v>0</v>
      </c>
      <c r="R230">
        <v>8</v>
      </c>
      <c r="S230">
        <v>1</v>
      </c>
      <c r="T230">
        <v>3</v>
      </c>
      <c r="U230">
        <v>0</v>
      </c>
      <c r="V230" t="s">
        <v>47</v>
      </c>
      <c r="W230">
        <v>0</v>
      </c>
      <c r="X230">
        <v>1</v>
      </c>
      <c r="Y230">
        <v>0</v>
      </c>
      <c r="Z230">
        <v>4.9523809523809499</v>
      </c>
      <c r="AA230">
        <v>8.9655172413793096</v>
      </c>
      <c r="AB230">
        <v>6</v>
      </c>
      <c r="AC230">
        <v>2.80217391304347</v>
      </c>
    </row>
    <row r="231" spans="1:29" x14ac:dyDescent="0.35">
      <c r="A231" t="s">
        <v>311</v>
      </c>
      <c r="B231" t="s">
        <v>106</v>
      </c>
      <c r="C231" s="1">
        <v>45667</v>
      </c>
      <c r="D231" t="s">
        <v>38</v>
      </c>
      <c r="E231" s="2">
        <v>0.72916666666666663</v>
      </c>
      <c r="F231" t="s">
        <v>104</v>
      </c>
      <c r="G231">
        <v>104</v>
      </c>
      <c r="H231">
        <v>92</v>
      </c>
      <c r="I231">
        <v>15</v>
      </c>
      <c r="J231">
        <v>28</v>
      </c>
      <c r="K231" t="s">
        <v>40</v>
      </c>
      <c r="L231">
        <v>0</v>
      </c>
      <c r="M231" t="s">
        <v>34</v>
      </c>
      <c r="N231">
        <v>35</v>
      </c>
      <c r="O231">
        <v>29</v>
      </c>
      <c r="P231">
        <v>15.9</v>
      </c>
      <c r="Q231">
        <v>0</v>
      </c>
      <c r="R231">
        <v>17</v>
      </c>
      <c r="S231">
        <v>1</v>
      </c>
      <c r="T231">
        <v>4</v>
      </c>
      <c r="U231">
        <v>0</v>
      </c>
      <c r="V231" t="s">
        <v>41</v>
      </c>
      <c r="W231">
        <v>0</v>
      </c>
      <c r="X231">
        <v>0.82857142857142796</v>
      </c>
      <c r="Y231">
        <v>1</v>
      </c>
      <c r="Z231">
        <v>3.71428571428571</v>
      </c>
      <c r="AA231">
        <v>6.93333333333333</v>
      </c>
      <c r="AB231">
        <v>12</v>
      </c>
      <c r="AC231">
        <v>9.4749999999999996</v>
      </c>
    </row>
    <row r="232" spans="1:29" x14ac:dyDescent="0.35">
      <c r="A232" t="s">
        <v>312</v>
      </c>
      <c r="B232" t="s">
        <v>106</v>
      </c>
      <c r="C232" s="1">
        <v>45660</v>
      </c>
      <c r="D232" t="s">
        <v>38</v>
      </c>
      <c r="E232" s="2">
        <v>0.57291666666666663</v>
      </c>
      <c r="F232" t="s">
        <v>45</v>
      </c>
      <c r="G232">
        <v>49</v>
      </c>
      <c r="H232">
        <v>48</v>
      </c>
      <c r="I232">
        <v>15</v>
      </c>
      <c r="J232">
        <v>28</v>
      </c>
      <c r="K232" t="s">
        <v>40</v>
      </c>
      <c r="L232">
        <v>0</v>
      </c>
      <c r="M232" t="s">
        <v>34</v>
      </c>
      <c r="N232">
        <v>29</v>
      </c>
      <c r="O232">
        <v>26</v>
      </c>
      <c r="P232">
        <v>8.6</v>
      </c>
      <c r="Q232">
        <v>0</v>
      </c>
      <c r="R232">
        <v>13</v>
      </c>
      <c r="S232">
        <v>1</v>
      </c>
      <c r="T232">
        <v>4</v>
      </c>
      <c r="U232">
        <v>0</v>
      </c>
      <c r="V232" t="s">
        <v>35</v>
      </c>
      <c r="W232">
        <v>0</v>
      </c>
      <c r="X232">
        <v>0.89655172413793105</v>
      </c>
      <c r="Y232">
        <v>1</v>
      </c>
      <c r="Z232">
        <v>1.75</v>
      </c>
      <c r="AA232">
        <v>3.2666666666666599</v>
      </c>
      <c r="AB232">
        <v>1</v>
      </c>
      <c r="AC232">
        <v>9.4749999999999996</v>
      </c>
    </row>
    <row r="233" spans="1:29" x14ac:dyDescent="0.35">
      <c r="A233" t="s">
        <v>313</v>
      </c>
      <c r="B233" t="s">
        <v>60</v>
      </c>
      <c r="C233" s="1">
        <v>45659</v>
      </c>
      <c r="D233" t="s">
        <v>54</v>
      </c>
      <c r="E233" s="2">
        <v>0.65625</v>
      </c>
      <c r="F233" t="s">
        <v>45</v>
      </c>
      <c r="G233">
        <v>50</v>
      </c>
      <c r="H233">
        <v>49</v>
      </c>
      <c r="I233">
        <v>12.5</v>
      </c>
      <c r="J233">
        <v>22</v>
      </c>
      <c r="K233" t="s">
        <v>51</v>
      </c>
      <c r="L233">
        <v>0</v>
      </c>
      <c r="M233" t="s">
        <v>34</v>
      </c>
      <c r="N233">
        <v>33</v>
      </c>
      <c r="O233">
        <v>32</v>
      </c>
      <c r="P233">
        <v>7.9</v>
      </c>
      <c r="Q233">
        <v>0</v>
      </c>
      <c r="R233">
        <v>15</v>
      </c>
      <c r="S233">
        <v>1</v>
      </c>
      <c r="T233">
        <v>3</v>
      </c>
      <c r="U233">
        <v>0</v>
      </c>
      <c r="V233" t="s">
        <v>35</v>
      </c>
      <c r="W233">
        <v>0</v>
      </c>
      <c r="X233">
        <v>0.96969696969696895</v>
      </c>
      <c r="Y233">
        <v>1</v>
      </c>
      <c r="Z233">
        <v>2.2727272727272698</v>
      </c>
      <c r="AA233">
        <v>4</v>
      </c>
      <c r="AB233">
        <v>1</v>
      </c>
      <c r="AC233">
        <v>3.4760869565217298</v>
      </c>
    </row>
    <row r="234" spans="1:29" x14ac:dyDescent="0.35">
      <c r="A234" t="s">
        <v>314</v>
      </c>
      <c r="B234" t="s">
        <v>57</v>
      </c>
      <c r="C234" s="1">
        <v>45659</v>
      </c>
      <c r="D234" t="s">
        <v>54</v>
      </c>
      <c r="E234" s="2">
        <v>0.76041666666666663</v>
      </c>
      <c r="F234" t="s">
        <v>55</v>
      </c>
      <c r="G234">
        <v>78</v>
      </c>
      <c r="H234">
        <v>72</v>
      </c>
      <c r="I234">
        <v>14.2</v>
      </c>
      <c r="J234">
        <v>25</v>
      </c>
      <c r="K234" t="s">
        <v>46</v>
      </c>
      <c r="L234">
        <v>0</v>
      </c>
      <c r="M234" t="s">
        <v>34</v>
      </c>
      <c r="N234">
        <v>29</v>
      </c>
      <c r="O234">
        <v>24</v>
      </c>
      <c r="P234">
        <v>14.8</v>
      </c>
      <c r="Q234">
        <v>0</v>
      </c>
      <c r="R234">
        <v>18</v>
      </c>
      <c r="S234">
        <v>1</v>
      </c>
      <c r="T234">
        <v>3</v>
      </c>
      <c r="U234">
        <v>0</v>
      </c>
      <c r="V234" t="s">
        <v>41</v>
      </c>
      <c r="W234">
        <v>0</v>
      </c>
      <c r="X234">
        <v>0.82758620689655105</v>
      </c>
      <c r="Y234">
        <v>1</v>
      </c>
      <c r="Z234">
        <v>3.12</v>
      </c>
      <c r="AA234">
        <v>5.4929577464788704</v>
      </c>
      <c r="AB234">
        <v>6</v>
      </c>
      <c r="AC234">
        <v>8.3255319148936096</v>
      </c>
    </row>
    <row r="235" spans="1:29" x14ac:dyDescent="0.35">
      <c r="A235" t="s">
        <v>315</v>
      </c>
      <c r="B235" t="s">
        <v>30</v>
      </c>
      <c r="C235" s="1">
        <v>45662</v>
      </c>
      <c r="D235" t="s">
        <v>31</v>
      </c>
      <c r="E235" s="2">
        <v>0.3125</v>
      </c>
      <c r="F235" t="s">
        <v>61</v>
      </c>
      <c r="G235">
        <v>49</v>
      </c>
      <c r="H235">
        <v>46</v>
      </c>
      <c r="I235">
        <v>10.1</v>
      </c>
      <c r="J235">
        <v>19</v>
      </c>
      <c r="K235" t="s">
        <v>33</v>
      </c>
      <c r="L235">
        <v>0</v>
      </c>
      <c r="M235" t="s">
        <v>34</v>
      </c>
      <c r="N235">
        <v>34</v>
      </c>
      <c r="O235">
        <v>34</v>
      </c>
      <c r="P235">
        <v>0.8</v>
      </c>
      <c r="Q235">
        <v>0</v>
      </c>
      <c r="R235">
        <v>7</v>
      </c>
      <c r="S235">
        <v>1</v>
      </c>
      <c r="T235">
        <v>6</v>
      </c>
      <c r="U235">
        <v>1</v>
      </c>
      <c r="V235" t="s">
        <v>47</v>
      </c>
      <c r="W235">
        <v>0</v>
      </c>
      <c r="X235">
        <v>1</v>
      </c>
      <c r="Y235">
        <v>0</v>
      </c>
      <c r="Z235">
        <v>2.57894736842105</v>
      </c>
      <c r="AA235">
        <v>4.8514851485148496</v>
      </c>
      <c r="AB235">
        <v>3</v>
      </c>
      <c r="AC235">
        <v>3.6613636363636299</v>
      </c>
    </row>
    <row r="236" spans="1:29" x14ac:dyDescent="0.35">
      <c r="A236" t="s">
        <v>316</v>
      </c>
      <c r="B236" t="s">
        <v>49</v>
      </c>
      <c r="C236" s="1">
        <v>45681</v>
      </c>
      <c r="D236" t="s">
        <v>38</v>
      </c>
      <c r="E236" s="2">
        <v>0.72916666666666663</v>
      </c>
      <c r="F236" t="s">
        <v>39</v>
      </c>
      <c r="G236">
        <v>90</v>
      </c>
      <c r="H236">
        <v>90</v>
      </c>
      <c r="I236">
        <v>8.1999999999999993</v>
      </c>
      <c r="J236">
        <v>15</v>
      </c>
      <c r="K236" t="s">
        <v>51</v>
      </c>
      <c r="L236">
        <v>0</v>
      </c>
      <c r="M236" t="s">
        <v>34</v>
      </c>
      <c r="N236">
        <v>20</v>
      </c>
      <c r="O236">
        <v>19</v>
      </c>
      <c r="P236">
        <v>3.3</v>
      </c>
      <c r="Q236">
        <v>0</v>
      </c>
      <c r="R236">
        <v>17</v>
      </c>
      <c r="S236">
        <v>1</v>
      </c>
      <c r="T236">
        <v>4</v>
      </c>
      <c r="U236">
        <v>0</v>
      </c>
      <c r="V236" t="s">
        <v>41</v>
      </c>
      <c r="W236">
        <v>0</v>
      </c>
      <c r="X236">
        <v>0.95</v>
      </c>
      <c r="Y236">
        <v>0</v>
      </c>
      <c r="Z236">
        <v>6</v>
      </c>
      <c r="AA236">
        <v>10.9756097560975</v>
      </c>
      <c r="AB236">
        <v>0</v>
      </c>
      <c r="AC236">
        <v>3.6937500000000001</v>
      </c>
    </row>
    <row r="237" spans="1:29" x14ac:dyDescent="0.35">
      <c r="A237" t="s">
        <v>317</v>
      </c>
      <c r="B237" t="s">
        <v>57</v>
      </c>
      <c r="C237" s="1">
        <v>45708</v>
      </c>
      <c r="D237" t="s">
        <v>54</v>
      </c>
      <c r="E237" s="2">
        <v>0.70833333333333337</v>
      </c>
      <c r="F237" t="s">
        <v>119</v>
      </c>
      <c r="G237">
        <v>85</v>
      </c>
      <c r="H237">
        <v>78</v>
      </c>
      <c r="I237">
        <v>14.2</v>
      </c>
      <c r="J237">
        <v>25</v>
      </c>
      <c r="K237" t="s">
        <v>46</v>
      </c>
      <c r="L237">
        <v>0</v>
      </c>
      <c r="M237" t="s">
        <v>34</v>
      </c>
      <c r="N237">
        <v>20</v>
      </c>
      <c r="O237">
        <v>17</v>
      </c>
      <c r="P237">
        <v>6.6</v>
      </c>
      <c r="Q237">
        <v>0</v>
      </c>
      <c r="R237">
        <v>17</v>
      </c>
      <c r="S237">
        <v>2</v>
      </c>
      <c r="T237">
        <v>3</v>
      </c>
      <c r="U237">
        <v>0</v>
      </c>
      <c r="V237" t="s">
        <v>41</v>
      </c>
      <c r="W237">
        <v>0</v>
      </c>
      <c r="X237">
        <v>0.85</v>
      </c>
      <c r="Y237">
        <v>1</v>
      </c>
      <c r="Z237">
        <v>3.4</v>
      </c>
      <c r="AA237">
        <v>5.9859154929577398</v>
      </c>
      <c r="AB237">
        <v>7</v>
      </c>
      <c r="AC237">
        <v>8.3255319148936096</v>
      </c>
    </row>
    <row r="238" spans="1:29" x14ac:dyDescent="0.35">
      <c r="A238" t="s">
        <v>318</v>
      </c>
      <c r="B238" t="s">
        <v>43</v>
      </c>
      <c r="C238" s="1">
        <v>45668</v>
      </c>
      <c r="D238" t="s">
        <v>50</v>
      </c>
      <c r="E238" s="2">
        <v>0.73958333333333337</v>
      </c>
      <c r="F238" t="s">
        <v>107</v>
      </c>
      <c r="G238">
        <v>109</v>
      </c>
      <c r="H238">
        <v>107</v>
      </c>
      <c r="I238">
        <v>18.399999999999999</v>
      </c>
      <c r="J238">
        <v>32</v>
      </c>
      <c r="K238" t="s">
        <v>46</v>
      </c>
      <c r="L238">
        <v>0</v>
      </c>
      <c r="M238" t="s">
        <v>52</v>
      </c>
      <c r="N238">
        <v>36</v>
      </c>
      <c r="O238">
        <v>30</v>
      </c>
      <c r="P238">
        <v>19.600000000000001</v>
      </c>
      <c r="Q238">
        <v>0</v>
      </c>
      <c r="R238">
        <v>17</v>
      </c>
      <c r="S238">
        <v>1</v>
      </c>
      <c r="T238">
        <v>5</v>
      </c>
      <c r="U238">
        <v>1</v>
      </c>
      <c r="V238" t="s">
        <v>41</v>
      </c>
      <c r="W238">
        <v>1</v>
      </c>
      <c r="X238">
        <v>0.83333333333333304</v>
      </c>
      <c r="Y238">
        <v>1</v>
      </c>
      <c r="Z238">
        <v>3.40625</v>
      </c>
      <c r="AA238">
        <v>5.9239130434782599</v>
      </c>
      <c r="AB238">
        <v>2</v>
      </c>
      <c r="AC238">
        <v>8.6013888888888896</v>
      </c>
    </row>
    <row r="239" spans="1:29" x14ac:dyDescent="0.35">
      <c r="A239" t="s">
        <v>319</v>
      </c>
      <c r="B239" t="s">
        <v>72</v>
      </c>
      <c r="C239" s="1">
        <v>45703</v>
      </c>
      <c r="D239" t="s">
        <v>50</v>
      </c>
      <c r="E239" s="2">
        <v>0.23958333333333334</v>
      </c>
      <c r="F239" t="s">
        <v>32</v>
      </c>
      <c r="G239">
        <v>48</v>
      </c>
      <c r="H239">
        <v>41</v>
      </c>
      <c r="I239">
        <v>11.6</v>
      </c>
      <c r="J239">
        <v>21</v>
      </c>
      <c r="K239" t="s">
        <v>33</v>
      </c>
      <c r="L239">
        <v>0</v>
      </c>
      <c r="M239" t="s">
        <v>148</v>
      </c>
      <c r="N239">
        <v>20</v>
      </c>
      <c r="O239">
        <v>19</v>
      </c>
      <c r="P239">
        <v>3.9</v>
      </c>
      <c r="Q239">
        <v>0</v>
      </c>
      <c r="R239">
        <v>5</v>
      </c>
      <c r="S239">
        <v>2</v>
      </c>
      <c r="T239">
        <v>5</v>
      </c>
      <c r="U239">
        <v>1</v>
      </c>
      <c r="V239" t="s">
        <v>35</v>
      </c>
      <c r="W239">
        <v>1</v>
      </c>
      <c r="X239">
        <v>0.95</v>
      </c>
      <c r="Y239">
        <v>0</v>
      </c>
      <c r="Z239">
        <v>2.2857142857142798</v>
      </c>
      <c r="AA239">
        <v>4.13793103448275</v>
      </c>
      <c r="AB239">
        <v>7</v>
      </c>
      <c r="AC239">
        <v>2.80217391304347</v>
      </c>
    </row>
    <row r="240" spans="1:29" x14ac:dyDescent="0.35">
      <c r="A240" t="s">
        <v>320</v>
      </c>
      <c r="B240" t="s">
        <v>60</v>
      </c>
      <c r="C240" s="1">
        <v>45659</v>
      </c>
      <c r="D240" t="s">
        <v>54</v>
      </c>
      <c r="E240" s="2">
        <v>0.75</v>
      </c>
      <c r="F240" t="s">
        <v>100</v>
      </c>
      <c r="G240">
        <v>79</v>
      </c>
      <c r="H240">
        <v>76</v>
      </c>
      <c r="I240">
        <v>12.5</v>
      </c>
      <c r="J240">
        <v>22</v>
      </c>
      <c r="K240" t="s">
        <v>51</v>
      </c>
      <c r="L240">
        <v>0</v>
      </c>
      <c r="M240" t="s">
        <v>34</v>
      </c>
      <c r="N240">
        <v>33</v>
      </c>
      <c r="O240">
        <v>32</v>
      </c>
      <c r="P240">
        <v>7.9</v>
      </c>
      <c r="Q240">
        <v>0</v>
      </c>
      <c r="R240">
        <v>18</v>
      </c>
      <c r="S240">
        <v>1</v>
      </c>
      <c r="T240">
        <v>3</v>
      </c>
      <c r="U240">
        <v>0</v>
      </c>
      <c r="V240" t="s">
        <v>41</v>
      </c>
      <c r="W240">
        <v>0</v>
      </c>
      <c r="X240">
        <v>0.96969696969696895</v>
      </c>
      <c r="Y240">
        <v>1</v>
      </c>
      <c r="Z240">
        <v>3.5909090909090899</v>
      </c>
      <c r="AA240">
        <v>6.32</v>
      </c>
      <c r="AB240">
        <v>3</v>
      </c>
      <c r="AC240">
        <v>3.4760869565217298</v>
      </c>
    </row>
    <row r="241" spans="1:29" x14ac:dyDescent="0.35">
      <c r="A241" t="s">
        <v>321</v>
      </c>
      <c r="B241" t="s">
        <v>106</v>
      </c>
      <c r="C241" s="1">
        <v>45697</v>
      </c>
      <c r="D241" t="s">
        <v>31</v>
      </c>
      <c r="E241" s="2">
        <v>0.36458333333333331</v>
      </c>
      <c r="F241" t="s">
        <v>150</v>
      </c>
      <c r="G241">
        <v>59</v>
      </c>
      <c r="H241">
        <v>57</v>
      </c>
      <c r="I241">
        <v>15</v>
      </c>
      <c r="J241">
        <v>28</v>
      </c>
      <c r="K241" t="s">
        <v>40</v>
      </c>
      <c r="L241">
        <v>0</v>
      </c>
      <c r="M241" t="s">
        <v>34</v>
      </c>
      <c r="N241">
        <v>21</v>
      </c>
      <c r="O241">
        <v>20</v>
      </c>
      <c r="P241">
        <v>9.1</v>
      </c>
      <c r="Q241">
        <v>1</v>
      </c>
      <c r="R241">
        <v>8</v>
      </c>
      <c r="S241">
        <v>2</v>
      </c>
      <c r="T241">
        <v>6</v>
      </c>
      <c r="U241">
        <v>1</v>
      </c>
      <c r="V241" t="s">
        <v>47</v>
      </c>
      <c r="W241">
        <v>0</v>
      </c>
      <c r="X241">
        <v>0.952380952380952</v>
      </c>
      <c r="Y241">
        <v>1</v>
      </c>
      <c r="Z241">
        <v>2.1071428571428501</v>
      </c>
      <c r="AA241">
        <v>3.93333333333333</v>
      </c>
      <c r="AB241">
        <v>2</v>
      </c>
      <c r="AC241">
        <v>9.4749999999999996</v>
      </c>
    </row>
    <row r="242" spans="1:29" x14ac:dyDescent="0.35">
      <c r="A242" t="s">
        <v>322</v>
      </c>
      <c r="B242" t="s">
        <v>65</v>
      </c>
      <c r="C242" s="1">
        <v>45691</v>
      </c>
      <c r="D242" t="s">
        <v>87</v>
      </c>
      <c r="E242" s="2">
        <v>0.3125</v>
      </c>
      <c r="F242" t="s">
        <v>97</v>
      </c>
      <c r="G242">
        <v>73</v>
      </c>
      <c r="H242">
        <v>65</v>
      </c>
      <c r="I242">
        <v>6.8</v>
      </c>
      <c r="J242">
        <v>12</v>
      </c>
      <c r="K242" t="s">
        <v>66</v>
      </c>
      <c r="L242">
        <v>0</v>
      </c>
      <c r="M242" t="s">
        <v>34</v>
      </c>
      <c r="N242">
        <v>37</v>
      </c>
      <c r="O242">
        <v>36</v>
      </c>
      <c r="P242">
        <v>0.8</v>
      </c>
      <c r="Q242">
        <v>0</v>
      </c>
      <c r="R242">
        <v>7</v>
      </c>
      <c r="S242">
        <v>2</v>
      </c>
      <c r="T242">
        <v>0</v>
      </c>
      <c r="U242">
        <v>0</v>
      </c>
      <c r="V242" t="s">
        <v>47</v>
      </c>
      <c r="W242">
        <v>0</v>
      </c>
      <c r="X242">
        <v>0.97297297297297303</v>
      </c>
      <c r="Y242">
        <v>0</v>
      </c>
      <c r="Z242">
        <v>6.0833333333333304</v>
      </c>
      <c r="AA242">
        <v>10.735294117646999</v>
      </c>
      <c r="AB242">
        <v>8</v>
      </c>
      <c r="AC242">
        <v>2.7611111111111102</v>
      </c>
    </row>
    <row r="243" spans="1:29" x14ac:dyDescent="0.35">
      <c r="A243" t="s">
        <v>323</v>
      </c>
      <c r="B243" t="s">
        <v>60</v>
      </c>
      <c r="C243" s="1">
        <v>45684</v>
      </c>
      <c r="D243" t="s">
        <v>87</v>
      </c>
      <c r="E243" s="2">
        <v>0.67708333333333337</v>
      </c>
      <c r="F243" t="s">
        <v>125</v>
      </c>
      <c r="G243">
        <v>43</v>
      </c>
      <c r="H243">
        <v>40</v>
      </c>
      <c r="I243">
        <v>12.5</v>
      </c>
      <c r="J243">
        <v>22</v>
      </c>
      <c r="K243" t="s">
        <v>51</v>
      </c>
      <c r="L243">
        <v>0</v>
      </c>
      <c r="M243" t="s">
        <v>34</v>
      </c>
      <c r="N243">
        <v>24</v>
      </c>
      <c r="O243">
        <v>23</v>
      </c>
      <c r="P243">
        <v>0.5</v>
      </c>
      <c r="Q243">
        <v>0</v>
      </c>
      <c r="R243">
        <v>16</v>
      </c>
      <c r="S243">
        <v>1</v>
      </c>
      <c r="T243">
        <v>0</v>
      </c>
      <c r="U243">
        <v>0</v>
      </c>
      <c r="V243" t="s">
        <v>35</v>
      </c>
      <c r="W243">
        <v>0</v>
      </c>
      <c r="X243">
        <v>0.95833333333333304</v>
      </c>
      <c r="Y243">
        <v>0</v>
      </c>
      <c r="Z243">
        <v>1.9545454545454499</v>
      </c>
      <c r="AA243">
        <v>3.44</v>
      </c>
      <c r="AB243">
        <v>3</v>
      </c>
      <c r="AC243">
        <v>3.4760869565217298</v>
      </c>
    </row>
    <row r="244" spans="1:29" x14ac:dyDescent="0.35">
      <c r="A244" t="s">
        <v>324</v>
      </c>
      <c r="B244" t="s">
        <v>60</v>
      </c>
      <c r="C244" s="1">
        <v>45687</v>
      </c>
      <c r="D244" t="s">
        <v>54</v>
      </c>
      <c r="E244" s="2">
        <v>0.76041666666666663</v>
      </c>
      <c r="F244" t="s">
        <v>119</v>
      </c>
      <c r="G244">
        <v>70</v>
      </c>
      <c r="H244">
        <v>60</v>
      </c>
      <c r="I244">
        <v>12.5</v>
      </c>
      <c r="J244">
        <v>22</v>
      </c>
      <c r="K244" t="s">
        <v>51</v>
      </c>
      <c r="L244">
        <v>0</v>
      </c>
      <c r="M244" t="s">
        <v>34</v>
      </c>
      <c r="N244">
        <v>25</v>
      </c>
      <c r="O244">
        <v>24</v>
      </c>
      <c r="P244">
        <v>1.9</v>
      </c>
      <c r="Q244">
        <v>0</v>
      </c>
      <c r="R244">
        <v>18</v>
      </c>
      <c r="S244">
        <v>1</v>
      </c>
      <c r="T244">
        <v>3</v>
      </c>
      <c r="U244">
        <v>0</v>
      </c>
      <c r="V244" t="s">
        <v>41</v>
      </c>
      <c r="W244">
        <v>0</v>
      </c>
      <c r="X244">
        <v>0.96</v>
      </c>
      <c r="Y244">
        <v>0</v>
      </c>
      <c r="Z244">
        <v>3.1818181818181799</v>
      </c>
      <c r="AA244">
        <v>5.6</v>
      </c>
      <c r="AB244">
        <v>10</v>
      </c>
      <c r="AC244">
        <v>3.4760869565217298</v>
      </c>
    </row>
    <row r="245" spans="1:29" x14ac:dyDescent="0.35">
      <c r="A245" t="s">
        <v>325</v>
      </c>
      <c r="B245" t="s">
        <v>57</v>
      </c>
      <c r="C245" s="1">
        <v>45684</v>
      </c>
      <c r="D245" t="s">
        <v>87</v>
      </c>
      <c r="E245" s="2">
        <v>0.84375</v>
      </c>
      <c r="F245" t="s">
        <v>82</v>
      </c>
      <c r="G245">
        <v>61</v>
      </c>
      <c r="H245">
        <v>55</v>
      </c>
      <c r="I245">
        <v>14.2</v>
      </c>
      <c r="J245">
        <v>25</v>
      </c>
      <c r="K245" t="s">
        <v>46</v>
      </c>
      <c r="L245">
        <v>0</v>
      </c>
      <c r="M245" t="s">
        <v>34</v>
      </c>
      <c r="N245">
        <v>27</v>
      </c>
      <c r="O245">
        <v>24</v>
      </c>
      <c r="P245">
        <v>12.8</v>
      </c>
      <c r="Q245">
        <v>0</v>
      </c>
      <c r="R245">
        <v>20</v>
      </c>
      <c r="S245">
        <v>1</v>
      </c>
      <c r="T245">
        <v>0</v>
      </c>
      <c r="U245">
        <v>0</v>
      </c>
      <c r="V245" t="s">
        <v>35</v>
      </c>
      <c r="W245">
        <v>0</v>
      </c>
      <c r="X245">
        <v>0.88888888888888795</v>
      </c>
      <c r="Y245">
        <v>1</v>
      </c>
      <c r="Z245">
        <v>2.44</v>
      </c>
      <c r="AA245">
        <v>4.2957746478873204</v>
      </c>
      <c r="AB245">
        <v>6</v>
      </c>
      <c r="AC245">
        <v>8.3255319148936096</v>
      </c>
    </row>
    <row r="246" spans="1:29" x14ac:dyDescent="0.35">
      <c r="A246" t="s">
        <v>326</v>
      </c>
      <c r="B246" t="s">
        <v>43</v>
      </c>
      <c r="C246" s="1">
        <v>45671</v>
      </c>
      <c r="D246" t="s">
        <v>44</v>
      </c>
      <c r="E246" s="2">
        <v>0.30208333333333331</v>
      </c>
      <c r="F246" t="s">
        <v>82</v>
      </c>
      <c r="G246">
        <v>122.625</v>
      </c>
      <c r="H246">
        <v>124</v>
      </c>
      <c r="I246">
        <v>18.399999999999999</v>
      </c>
      <c r="J246">
        <v>32</v>
      </c>
      <c r="K246" t="s">
        <v>46</v>
      </c>
      <c r="L246">
        <v>1</v>
      </c>
      <c r="M246" t="s">
        <v>34</v>
      </c>
      <c r="N246">
        <v>18</v>
      </c>
      <c r="O246">
        <v>17</v>
      </c>
      <c r="P246">
        <v>5.9</v>
      </c>
      <c r="Q246">
        <v>0</v>
      </c>
      <c r="R246">
        <v>7</v>
      </c>
      <c r="S246">
        <v>1</v>
      </c>
      <c r="T246">
        <v>1</v>
      </c>
      <c r="U246">
        <v>0</v>
      </c>
      <c r="V246" t="s">
        <v>47</v>
      </c>
      <c r="W246">
        <v>0</v>
      </c>
      <c r="X246">
        <v>0.94444444444444398</v>
      </c>
      <c r="Y246">
        <v>1</v>
      </c>
      <c r="Z246">
        <v>3.83203125</v>
      </c>
      <c r="AA246">
        <v>6.6644021739130404</v>
      </c>
      <c r="AB246">
        <v>-1.375</v>
      </c>
      <c r="AC246">
        <v>8.6013888888888896</v>
      </c>
    </row>
    <row r="247" spans="1:29" x14ac:dyDescent="0.35">
      <c r="A247" t="s">
        <v>327</v>
      </c>
      <c r="B247" t="s">
        <v>106</v>
      </c>
      <c r="C247" s="1">
        <v>45658</v>
      </c>
      <c r="D247" t="s">
        <v>78</v>
      </c>
      <c r="E247" s="2">
        <v>0.57291666666666663</v>
      </c>
      <c r="F247" t="s">
        <v>55</v>
      </c>
      <c r="G247">
        <v>61</v>
      </c>
      <c r="H247">
        <v>52</v>
      </c>
      <c r="I247">
        <v>15</v>
      </c>
      <c r="J247">
        <v>28</v>
      </c>
      <c r="K247" t="s">
        <v>40</v>
      </c>
      <c r="L247">
        <v>1</v>
      </c>
      <c r="M247" t="s">
        <v>34</v>
      </c>
      <c r="N247">
        <v>25</v>
      </c>
      <c r="O247">
        <v>23</v>
      </c>
      <c r="P247">
        <v>14.9</v>
      </c>
      <c r="Q247">
        <v>0</v>
      </c>
      <c r="R247">
        <v>13</v>
      </c>
      <c r="S247">
        <v>1</v>
      </c>
      <c r="T247">
        <v>2</v>
      </c>
      <c r="U247">
        <v>0</v>
      </c>
      <c r="V247" t="s">
        <v>35</v>
      </c>
      <c r="W247">
        <v>0</v>
      </c>
      <c r="X247">
        <v>0.92</v>
      </c>
      <c r="Y247">
        <v>1</v>
      </c>
      <c r="Z247">
        <v>2.1785714285714199</v>
      </c>
      <c r="AA247">
        <v>4.0666666666666602</v>
      </c>
      <c r="AB247">
        <v>9</v>
      </c>
      <c r="AC247">
        <v>9.4749999999999996</v>
      </c>
    </row>
    <row r="248" spans="1:29" x14ac:dyDescent="0.35">
      <c r="A248" t="s">
        <v>328</v>
      </c>
      <c r="B248" t="s">
        <v>57</v>
      </c>
      <c r="C248" s="1">
        <v>45708</v>
      </c>
      <c r="D248" t="s">
        <v>54</v>
      </c>
      <c r="E248" s="2">
        <v>0.30208333333333331</v>
      </c>
      <c r="F248" t="s">
        <v>89</v>
      </c>
      <c r="G248">
        <v>83</v>
      </c>
      <c r="H248">
        <v>73</v>
      </c>
      <c r="I248">
        <v>14.2</v>
      </c>
      <c r="J248">
        <v>25</v>
      </c>
      <c r="K248" t="s">
        <v>46</v>
      </c>
      <c r="L248">
        <v>0</v>
      </c>
      <c r="M248" t="s">
        <v>34</v>
      </c>
      <c r="N248">
        <v>20</v>
      </c>
      <c r="O248">
        <v>17</v>
      </c>
      <c r="P248">
        <v>6.6</v>
      </c>
      <c r="Q248">
        <v>0</v>
      </c>
      <c r="R248">
        <v>7</v>
      </c>
      <c r="S248">
        <v>2</v>
      </c>
      <c r="T248">
        <v>3</v>
      </c>
      <c r="U248">
        <v>0</v>
      </c>
      <c r="V248" t="s">
        <v>47</v>
      </c>
      <c r="W248">
        <v>0</v>
      </c>
      <c r="X248">
        <v>0.85</v>
      </c>
      <c r="Y248">
        <v>1</v>
      </c>
      <c r="Z248">
        <v>3.32</v>
      </c>
      <c r="AA248">
        <v>5.8450704225352101</v>
      </c>
      <c r="AB248">
        <v>10</v>
      </c>
      <c r="AC248">
        <v>8.3255319148936096</v>
      </c>
    </row>
    <row r="249" spans="1:29" x14ac:dyDescent="0.35">
      <c r="A249" t="s">
        <v>329</v>
      </c>
      <c r="B249" t="s">
        <v>106</v>
      </c>
      <c r="C249" s="1">
        <v>45669</v>
      </c>
      <c r="D249" t="s">
        <v>31</v>
      </c>
      <c r="E249" s="2">
        <v>0.84375</v>
      </c>
      <c r="F249" t="s">
        <v>61</v>
      </c>
      <c r="G249">
        <v>37</v>
      </c>
      <c r="H249">
        <v>32</v>
      </c>
      <c r="I249">
        <v>15</v>
      </c>
      <c r="J249">
        <v>28</v>
      </c>
      <c r="K249" t="s">
        <v>40</v>
      </c>
      <c r="L249">
        <v>0</v>
      </c>
      <c r="M249" t="s">
        <v>34</v>
      </c>
      <c r="N249">
        <v>20</v>
      </c>
      <c r="O249">
        <v>17</v>
      </c>
      <c r="P249">
        <v>13.4</v>
      </c>
      <c r="Q249">
        <v>0</v>
      </c>
      <c r="R249">
        <v>20</v>
      </c>
      <c r="S249">
        <v>1</v>
      </c>
      <c r="T249">
        <v>6</v>
      </c>
      <c r="U249">
        <v>1</v>
      </c>
      <c r="V249" t="s">
        <v>35</v>
      </c>
      <c r="W249">
        <v>0</v>
      </c>
      <c r="X249">
        <v>0.85</v>
      </c>
      <c r="Y249">
        <v>1</v>
      </c>
      <c r="Z249">
        <v>1.3214285714285701</v>
      </c>
      <c r="AA249">
        <v>2.4666666666666601</v>
      </c>
      <c r="AB249">
        <v>5</v>
      </c>
      <c r="AC249">
        <v>9.4749999999999996</v>
      </c>
    </row>
    <row r="250" spans="1:29" x14ac:dyDescent="0.35">
      <c r="A250" t="s">
        <v>330</v>
      </c>
      <c r="B250" t="s">
        <v>106</v>
      </c>
      <c r="C250" s="1">
        <v>45712</v>
      </c>
      <c r="D250" t="s">
        <v>87</v>
      </c>
      <c r="E250" s="2">
        <v>0.77083333333333337</v>
      </c>
      <c r="F250" t="s">
        <v>107</v>
      </c>
      <c r="G250">
        <v>89</v>
      </c>
      <c r="H250">
        <v>81</v>
      </c>
      <c r="I250">
        <v>15</v>
      </c>
      <c r="J250">
        <v>28</v>
      </c>
      <c r="K250" t="s">
        <v>40</v>
      </c>
      <c r="L250">
        <v>0</v>
      </c>
      <c r="M250" t="s">
        <v>34</v>
      </c>
      <c r="N250">
        <v>34</v>
      </c>
      <c r="O250">
        <v>28</v>
      </c>
      <c r="P250">
        <v>12.8</v>
      </c>
      <c r="Q250">
        <v>0</v>
      </c>
      <c r="R250">
        <v>18</v>
      </c>
      <c r="S250">
        <v>2</v>
      </c>
      <c r="T250">
        <v>0</v>
      </c>
      <c r="U250">
        <v>0</v>
      </c>
      <c r="V250" t="s">
        <v>41</v>
      </c>
      <c r="W250">
        <v>0</v>
      </c>
      <c r="X250">
        <v>0.82352941176470495</v>
      </c>
      <c r="Y250">
        <v>1</v>
      </c>
      <c r="Z250">
        <v>3.1785714285714199</v>
      </c>
      <c r="AA250">
        <v>5.93333333333333</v>
      </c>
      <c r="AB250">
        <v>8</v>
      </c>
      <c r="AC250">
        <v>9.4749999999999996</v>
      </c>
    </row>
    <row r="251" spans="1:29" x14ac:dyDescent="0.35">
      <c r="A251" t="s">
        <v>331</v>
      </c>
      <c r="B251" t="s">
        <v>49</v>
      </c>
      <c r="C251" s="1">
        <v>45688</v>
      </c>
      <c r="D251" t="s">
        <v>38</v>
      </c>
      <c r="E251" s="2">
        <v>0.77083333333333337</v>
      </c>
      <c r="F251" t="s">
        <v>32</v>
      </c>
      <c r="G251">
        <v>58</v>
      </c>
      <c r="H251">
        <v>51</v>
      </c>
      <c r="I251">
        <v>8.1999999999999993</v>
      </c>
      <c r="J251">
        <v>15</v>
      </c>
      <c r="K251" t="s">
        <v>51</v>
      </c>
      <c r="L251">
        <v>0</v>
      </c>
      <c r="M251" t="s">
        <v>34</v>
      </c>
      <c r="N251">
        <v>27</v>
      </c>
      <c r="O251">
        <v>27</v>
      </c>
      <c r="P251">
        <v>3.5</v>
      </c>
      <c r="Q251">
        <v>0</v>
      </c>
      <c r="R251">
        <v>18</v>
      </c>
      <c r="S251">
        <v>1</v>
      </c>
      <c r="T251">
        <v>4</v>
      </c>
      <c r="U251">
        <v>0</v>
      </c>
      <c r="V251" t="s">
        <v>41</v>
      </c>
      <c r="W251">
        <v>0</v>
      </c>
      <c r="X251">
        <v>1</v>
      </c>
      <c r="Y251">
        <v>0</v>
      </c>
      <c r="Z251">
        <v>3.86666666666666</v>
      </c>
      <c r="AA251">
        <v>7.07317073170731</v>
      </c>
      <c r="AB251">
        <v>7</v>
      </c>
      <c r="AC251">
        <v>3.6937500000000001</v>
      </c>
    </row>
    <row r="252" spans="1:29" x14ac:dyDescent="0.35">
      <c r="A252" t="s">
        <v>332</v>
      </c>
      <c r="B252" t="s">
        <v>49</v>
      </c>
      <c r="C252" s="1">
        <v>45670</v>
      </c>
      <c r="D252" t="s">
        <v>87</v>
      </c>
      <c r="E252" s="2">
        <v>0.66666666666666663</v>
      </c>
      <c r="F252" t="s">
        <v>73</v>
      </c>
      <c r="G252">
        <v>42</v>
      </c>
      <c r="H252">
        <v>40</v>
      </c>
      <c r="I252">
        <v>8.1999999999999993</v>
      </c>
      <c r="J252">
        <v>15</v>
      </c>
      <c r="K252" t="s">
        <v>51</v>
      </c>
      <c r="L252">
        <v>0</v>
      </c>
      <c r="M252" t="s">
        <v>34</v>
      </c>
      <c r="N252">
        <v>29</v>
      </c>
      <c r="O252">
        <v>27</v>
      </c>
      <c r="P252">
        <v>1.2</v>
      </c>
      <c r="Q252">
        <v>0</v>
      </c>
      <c r="R252">
        <v>16</v>
      </c>
      <c r="S252">
        <v>1</v>
      </c>
      <c r="T252">
        <v>0</v>
      </c>
      <c r="U252">
        <v>0</v>
      </c>
      <c r="V252" t="s">
        <v>35</v>
      </c>
      <c r="W252">
        <v>0</v>
      </c>
      <c r="X252">
        <v>0.93103448275862</v>
      </c>
      <c r="Y252">
        <v>0</v>
      </c>
      <c r="Z252">
        <v>2.8</v>
      </c>
      <c r="AA252">
        <v>5.1219512195121899</v>
      </c>
      <c r="AB252">
        <v>2</v>
      </c>
      <c r="AC252">
        <v>3.6937500000000001</v>
      </c>
    </row>
    <row r="253" spans="1:29" x14ac:dyDescent="0.35">
      <c r="A253" t="s">
        <v>333</v>
      </c>
      <c r="B253" t="s">
        <v>106</v>
      </c>
      <c r="C253" s="1">
        <v>45714</v>
      </c>
      <c r="D253" t="s">
        <v>78</v>
      </c>
      <c r="E253" s="2">
        <v>0.29166666666666669</v>
      </c>
      <c r="F253" t="s">
        <v>45</v>
      </c>
      <c r="G253">
        <v>101</v>
      </c>
      <c r="H253">
        <v>100</v>
      </c>
      <c r="I253">
        <v>15</v>
      </c>
      <c r="J253">
        <v>28</v>
      </c>
      <c r="K253" t="s">
        <v>40</v>
      </c>
      <c r="L253">
        <v>0</v>
      </c>
      <c r="M253" t="s">
        <v>34</v>
      </c>
      <c r="N253">
        <v>32</v>
      </c>
      <c r="O253">
        <v>27</v>
      </c>
      <c r="P253">
        <v>15.1</v>
      </c>
      <c r="Q253">
        <v>0</v>
      </c>
      <c r="R253">
        <v>7</v>
      </c>
      <c r="S253">
        <v>2</v>
      </c>
      <c r="T253">
        <v>2</v>
      </c>
      <c r="U253">
        <v>0</v>
      </c>
      <c r="V253" t="s">
        <v>47</v>
      </c>
      <c r="W253">
        <v>0</v>
      </c>
      <c r="X253">
        <v>0.84375</v>
      </c>
      <c r="Y253">
        <v>1</v>
      </c>
      <c r="Z253">
        <v>3.6071428571428501</v>
      </c>
      <c r="AA253">
        <v>6.7333333333333298</v>
      </c>
      <c r="AB253">
        <v>1</v>
      </c>
      <c r="AC253">
        <v>9.4749999999999996</v>
      </c>
    </row>
    <row r="254" spans="1:29" x14ac:dyDescent="0.35">
      <c r="A254" t="s">
        <v>334</v>
      </c>
      <c r="B254" t="s">
        <v>43</v>
      </c>
      <c r="C254" s="1">
        <v>45686</v>
      </c>
      <c r="D254" t="s">
        <v>78</v>
      </c>
      <c r="E254" s="2">
        <v>0.40625</v>
      </c>
      <c r="F254" t="s">
        <v>110</v>
      </c>
      <c r="G254">
        <v>122.625</v>
      </c>
      <c r="H254">
        <v>119</v>
      </c>
      <c r="I254">
        <v>18.399999999999999</v>
      </c>
      <c r="J254">
        <v>32</v>
      </c>
      <c r="K254" t="s">
        <v>46</v>
      </c>
      <c r="L254">
        <v>0</v>
      </c>
      <c r="M254" t="s">
        <v>34</v>
      </c>
      <c r="N254">
        <v>37</v>
      </c>
      <c r="O254">
        <v>35</v>
      </c>
      <c r="P254">
        <v>8.8000000000000007</v>
      </c>
      <c r="Q254">
        <v>0</v>
      </c>
      <c r="R254">
        <v>9</v>
      </c>
      <c r="S254">
        <v>1</v>
      </c>
      <c r="T254">
        <v>2</v>
      </c>
      <c r="U254">
        <v>0</v>
      </c>
      <c r="V254" t="s">
        <v>47</v>
      </c>
      <c r="W254">
        <v>0</v>
      </c>
      <c r="X254">
        <v>0.94594594594594505</v>
      </c>
      <c r="Y254">
        <v>1</v>
      </c>
      <c r="Z254">
        <v>3.83203125</v>
      </c>
      <c r="AA254">
        <v>6.6644021739130404</v>
      </c>
      <c r="AB254">
        <v>3.625</v>
      </c>
      <c r="AC254">
        <v>8.6013888888888896</v>
      </c>
    </row>
    <row r="255" spans="1:29" x14ac:dyDescent="0.35">
      <c r="A255" t="s">
        <v>335</v>
      </c>
      <c r="B255" t="s">
        <v>60</v>
      </c>
      <c r="C255" s="1">
        <v>45659</v>
      </c>
      <c r="D255" t="s">
        <v>54</v>
      </c>
      <c r="E255" s="2">
        <v>0.69791666666666663</v>
      </c>
      <c r="F255" t="s">
        <v>100</v>
      </c>
      <c r="G255">
        <v>41</v>
      </c>
      <c r="H255">
        <v>40</v>
      </c>
      <c r="I255">
        <v>12.5</v>
      </c>
      <c r="J255">
        <v>22</v>
      </c>
      <c r="K255" t="s">
        <v>51</v>
      </c>
      <c r="L255">
        <v>0</v>
      </c>
      <c r="M255" t="s">
        <v>34</v>
      </c>
      <c r="N255">
        <v>33</v>
      </c>
      <c r="O255">
        <v>32</v>
      </c>
      <c r="P255">
        <v>7.9</v>
      </c>
      <c r="Q255">
        <v>0</v>
      </c>
      <c r="R255">
        <v>16</v>
      </c>
      <c r="S255">
        <v>1</v>
      </c>
      <c r="T255">
        <v>3</v>
      </c>
      <c r="U255">
        <v>0</v>
      </c>
      <c r="V255" t="s">
        <v>35</v>
      </c>
      <c r="W255">
        <v>0</v>
      </c>
      <c r="X255">
        <v>0.96969696969696895</v>
      </c>
      <c r="Y255">
        <v>1</v>
      </c>
      <c r="Z255">
        <v>1.86363636363636</v>
      </c>
      <c r="AA255">
        <v>3.28</v>
      </c>
      <c r="AB255">
        <v>1</v>
      </c>
      <c r="AC255">
        <v>3.4760869565217298</v>
      </c>
    </row>
    <row r="256" spans="1:29" x14ac:dyDescent="0.35">
      <c r="A256" t="s">
        <v>336</v>
      </c>
      <c r="B256" t="s">
        <v>37</v>
      </c>
      <c r="C256" s="1">
        <v>45658</v>
      </c>
      <c r="D256" t="s">
        <v>78</v>
      </c>
      <c r="E256" s="2">
        <v>0.61458333333333337</v>
      </c>
      <c r="F256" t="s">
        <v>73</v>
      </c>
      <c r="G256">
        <v>56</v>
      </c>
      <c r="H256">
        <v>48</v>
      </c>
      <c r="I256">
        <v>9.5</v>
      </c>
      <c r="J256">
        <v>17</v>
      </c>
      <c r="K256" t="s">
        <v>40</v>
      </c>
      <c r="L256">
        <v>1</v>
      </c>
      <c r="M256" t="s">
        <v>34</v>
      </c>
      <c r="N256">
        <v>18</v>
      </c>
      <c r="O256">
        <v>17</v>
      </c>
      <c r="P256">
        <v>4.5</v>
      </c>
      <c r="Q256">
        <v>0</v>
      </c>
      <c r="R256">
        <v>14</v>
      </c>
      <c r="S256">
        <v>1</v>
      </c>
      <c r="T256">
        <v>2</v>
      </c>
      <c r="U256">
        <v>0</v>
      </c>
      <c r="V256" t="s">
        <v>35</v>
      </c>
      <c r="W256">
        <v>0</v>
      </c>
      <c r="X256">
        <v>0.94444444444444398</v>
      </c>
      <c r="Y256">
        <v>0</v>
      </c>
      <c r="Z256">
        <v>3.2941176470588198</v>
      </c>
      <c r="AA256">
        <v>5.8947368421052602</v>
      </c>
      <c r="AB256">
        <v>8</v>
      </c>
      <c r="AC256">
        <v>3.8470588235294101</v>
      </c>
    </row>
    <row r="257" spans="1:29" x14ac:dyDescent="0.35">
      <c r="A257" t="s">
        <v>337</v>
      </c>
      <c r="B257" t="s">
        <v>106</v>
      </c>
      <c r="C257" s="1">
        <v>45708</v>
      </c>
      <c r="D257" t="s">
        <v>54</v>
      </c>
      <c r="E257" s="2">
        <v>0.6875</v>
      </c>
      <c r="F257" t="s">
        <v>45</v>
      </c>
      <c r="G257">
        <v>66</v>
      </c>
      <c r="H257">
        <v>60</v>
      </c>
      <c r="I257">
        <v>15</v>
      </c>
      <c r="J257">
        <v>28</v>
      </c>
      <c r="K257" t="s">
        <v>40</v>
      </c>
      <c r="L257">
        <v>0</v>
      </c>
      <c r="M257" t="s">
        <v>34</v>
      </c>
      <c r="N257">
        <v>33</v>
      </c>
      <c r="O257">
        <v>27</v>
      </c>
      <c r="P257">
        <v>16.100000000000001</v>
      </c>
      <c r="Q257">
        <v>0</v>
      </c>
      <c r="R257">
        <v>16</v>
      </c>
      <c r="S257">
        <v>2</v>
      </c>
      <c r="T257">
        <v>3</v>
      </c>
      <c r="U257">
        <v>0</v>
      </c>
      <c r="V257" t="s">
        <v>35</v>
      </c>
      <c r="W257">
        <v>0</v>
      </c>
      <c r="X257">
        <v>0.81818181818181801</v>
      </c>
      <c r="Y257">
        <v>1</v>
      </c>
      <c r="Z257">
        <v>2.3571428571428501</v>
      </c>
      <c r="AA257">
        <v>4.4000000000000004</v>
      </c>
      <c r="AB257">
        <v>6</v>
      </c>
      <c r="AC257">
        <v>9.4749999999999996</v>
      </c>
    </row>
    <row r="258" spans="1:29" x14ac:dyDescent="0.35">
      <c r="A258" t="s">
        <v>338</v>
      </c>
      <c r="B258" t="s">
        <v>37</v>
      </c>
      <c r="C258" s="1">
        <v>45711</v>
      </c>
      <c r="D258" t="s">
        <v>31</v>
      </c>
      <c r="E258" s="2">
        <v>0.63541666666666663</v>
      </c>
      <c r="F258" t="s">
        <v>107</v>
      </c>
      <c r="G258">
        <v>29</v>
      </c>
      <c r="H258">
        <v>25</v>
      </c>
      <c r="I258">
        <v>9.5</v>
      </c>
      <c r="J258">
        <v>17</v>
      </c>
      <c r="K258" t="s">
        <v>40</v>
      </c>
      <c r="L258">
        <v>0</v>
      </c>
      <c r="M258" t="s">
        <v>34</v>
      </c>
      <c r="N258">
        <v>27</v>
      </c>
      <c r="O258">
        <v>26</v>
      </c>
      <c r="P258">
        <v>1.8</v>
      </c>
      <c r="Q258">
        <v>0</v>
      </c>
      <c r="R258">
        <v>15</v>
      </c>
      <c r="S258">
        <v>2</v>
      </c>
      <c r="T258">
        <v>6</v>
      </c>
      <c r="U258">
        <v>1</v>
      </c>
      <c r="V258" t="s">
        <v>35</v>
      </c>
      <c r="W258">
        <v>0</v>
      </c>
      <c r="X258">
        <v>0.96296296296296202</v>
      </c>
      <c r="Y258">
        <v>0</v>
      </c>
      <c r="Z258">
        <v>1.70588235294117</v>
      </c>
      <c r="AA258">
        <v>3.0526315789473601</v>
      </c>
      <c r="AB258">
        <v>4</v>
      </c>
      <c r="AC258">
        <v>3.8470588235294101</v>
      </c>
    </row>
    <row r="259" spans="1:29" x14ac:dyDescent="0.35">
      <c r="A259" t="s">
        <v>339</v>
      </c>
      <c r="B259" t="s">
        <v>57</v>
      </c>
      <c r="C259" s="1">
        <v>45663</v>
      </c>
      <c r="D259" t="s">
        <v>87</v>
      </c>
      <c r="E259" s="2">
        <v>0.61458333333333337</v>
      </c>
      <c r="F259" t="s">
        <v>45</v>
      </c>
      <c r="G259">
        <v>52</v>
      </c>
      <c r="H259">
        <v>50</v>
      </c>
      <c r="I259">
        <v>14.2</v>
      </c>
      <c r="J259">
        <v>25</v>
      </c>
      <c r="K259" t="s">
        <v>46</v>
      </c>
      <c r="L259">
        <v>0</v>
      </c>
      <c r="M259" t="s">
        <v>34</v>
      </c>
      <c r="N259">
        <v>26</v>
      </c>
      <c r="O259">
        <v>25</v>
      </c>
      <c r="P259">
        <v>5.6</v>
      </c>
      <c r="Q259">
        <v>0</v>
      </c>
      <c r="R259">
        <v>14</v>
      </c>
      <c r="S259">
        <v>1</v>
      </c>
      <c r="T259">
        <v>0</v>
      </c>
      <c r="U259">
        <v>0</v>
      </c>
      <c r="V259" t="s">
        <v>35</v>
      </c>
      <c r="W259">
        <v>0</v>
      </c>
      <c r="X259">
        <v>0.96153846153846101</v>
      </c>
      <c r="Y259">
        <v>1</v>
      </c>
      <c r="Z259">
        <v>2.08</v>
      </c>
      <c r="AA259">
        <v>3.6619718309859102</v>
      </c>
      <c r="AB259">
        <v>2</v>
      </c>
      <c r="AC259">
        <v>8.3255319148936096</v>
      </c>
    </row>
    <row r="260" spans="1:29" x14ac:dyDescent="0.35">
      <c r="A260" t="s">
        <v>340</v>
      </c>
      <c r="B260" t="s">
        <v>106</v>
      </c>
      <c r="C260" s="1">
        <v>45690</v>
      </c>
      <c r="D260" t="s">
        <v>31</v>
      </c>
      <c r="E260" s="2">
        <v>0.25</v>
      </c>
      <c r="F260" t="s">
        <v>61</v>
      </c>
      <c r="G260">
        <v>39</v>
      </c>
      <c r="H260">
        <v>39</v>
      </c>
      <c r="I260">
        <v>15</v>
      </c>
      <c r="J260">
        <v>28</v>
      </c>
      <c r="K260" t="s">
        <v>40</v>
      </c>
      <c r="L260">
        <v>0</v>
      </c>
      <c r="M260" t="s">
        <v>34</v>
      </c>
      <c r="N260">
        <v>31</v>
      </c>
      <c r="O260">
        <v>27</v>
      </c>
      <c r="P260">
        <v>14</v>
      </c>
      <c r="Q260">
        <v>0</v>
      </c>
      <c r="R260">
        <v>6</v>
      </c>
      <c r="S260">
        <v>2</v>
      </c>
      <c r="T260">
        <v>6</v>
      </c>
      <c r="U260">
        <v>1</v>
      </c>
      <c r="V260" t="s">
        <v>35</v>
      </c>
      <c r="W260">
        <v>0</v>
      </c>
      <c r="X260">
        <v>0.87096774193548299</v>
      </c>
      <c r="Y260">
        <v>1</v>
      </c>
      <c r="Z260">
        <v>1.3928571428571399</v>
      </c>
      <c r="AA260">
        <v>2.6</v>
      </c>
      <c r="AB260">
        <v>0</v>
      </c>
      <c r="AC260">
        <v>9.4749999999999996</v>
      </c>
    </row>
    <row r="261" spans="1:29" x14ac:dyDescent="0.35">
      <c r="A261" t="s">
        <v>341</v>
      </c>
      <c r="B261" t="s">
        <v>30</v>
      </c>
      <c r="C261" s="1">
        <v>45658</v>
      </c>
      <c r="D261" t="s">
        <v>78</v>
      </c>
      <c r="E261" s="2">
        <v>0.34375</v>
      </c>
      <c r="F261" t="s">
        <v>39</v>
      </c>
      <c r="G261">
        <v>85</v>
      </c>
      <c r="H261">
        <v>73</v>
      </c>
      <c r="I261">
        <v>10.1</v>
      </c>
      <c r="J261">
        <v>19</v>
      </c>
      <c r="K261" t="s">
        <v>33</v>
      </c>
      <c r="L261">
        <v>1</v>
      </c>
      <c r="M261" t="s">
        <v>34</v>
      </c>
      <c r="N261">
        <v>38</v>
      </c>
      <c r="O261">
        <v>38</v>
      </c>
      <c r="P261">
        <v>0.9</v>
      </c>
      <c r="Q261">
        <v>0</v>
      </c>
      <c r="R261">
        <v>8</v>
      </c>
      <c r="S261">
        <v>1</v>
      </c>
      <c r="T261">
        <v>2</v>
      </c>
      <c r="U261">
        <v>0</v>
      </c>
      <c r="V261" t="s">
        <v>47</v>
      </c>
      <c r="W261">
        <v>0</v>
      </c>
      <c r="X261">
        <v>1</v>
      </c>
      <c r="Y261">
        <v>0</v>
      </c>
      <c r="Z261">
        <v>4.4736842105263097</v>
      </c>
      <c r="AA261">
        <v>8.4158415841584109</v>
      </c>
      <c r="AB261">
        <v>12</v>
      </c>
      <c r="AC261">
        <v>3.6613636363636299</v>
      </c>
    </row>
    <row r="262" spans="1:29" x14ac:dyDescent="0.35">
      <c r="A262" t="s">
        <v>342</v>
      </c>
      <c r="B262" t="s">
        <v>30</v>
      </c>
      <c r="C262" s="1">
        <v>45659</v>
      </c>
      <c r="D262" t="s">
        <v>54</v>
      </c>
      <c r="E262" s="2">
        <v>0.33333333333333331</v>
      </c>
      <c r="F262" t="s">
        <v>104</v>
      </c>
      <c r="G262">
        <v>78</v>
      </c>
      <c r="H262">
        <v>74</v>
      </c>
      <c r="I262">
        <v>10.1</v>
      </c>
      <c r="J262">
        <v>19</v>
      </c>
      <c r="K262" t="s">
        <v>33</v>
      </c>
      <c r="L262">
        <v>0</v>
      </c>
      <c r="M262" t="s">
        <v>34</v>
      </c>
      <c r="N262">
        <v>30</v>
      </c>
      <c r="O262">
        <v>30</v>
      </c>
      <c r="P262">
        <v>3.3</v>
      </c>
      <c r="Q262">
        <v>1</v>
      </c>
      <c r="R262">
        <v>8</v>
      </c>
      <c r="S262">
        <v>1</v>
      </c>
      <c r="T262">
        <v>3</v>
      </c>
      <c r="U262">
        <v>0</v>
      </c>
      <c r="V262" t="s">
        <v>47</v>
      </c>
      <c r="W262">
        <v>0</v>
      </c>
      <c r="X262">
        <v>1</v>
      </c>
      <c r="Y262">
        <v>0</v>
      </c>
      <c r="Z262">
        <v>4.1052631578947301</v>
      </c>
      <c r="AA262">
        <v>7.7227722772277199</v>
      </c>
      <c r="AB262">
        <v>4</v>
      </c>
      <c r="AC262">
        <v>3.6613636363636299</v>
      </c>
    </row>
    <row r="263" spans="1:29" x14ac:dyDescent="0.35">
      <c r="A263" t="s">
        <v>343</v>
      </c>
      <c r="B263" t="s">
        <v>49</v>
      </c>
      <c r="C263" s="1">
        <v>45687</v>
      </c>
      <c r="D263" t="s">
        <v>54</v>
      </c>
      <c r="E263" s="2">
        <v>0.78125</v>
      </c>
      <c r="F263" t="s">
        <v>97</v>
      </c>
      <c r="G263">
        <v>65</v>
      </c>
      <c r="H263">
        <v>59</v>
      </c>
      <c r="I263">
        <v>8.1999999999999993</v>
      </c>
      <c r="J263">
        <v>15</v>
      </c>
      <c r="K263" t="s">
        <v>51</v>
      </c>
      <c r="L263">
        <v>0</v>
      </c>
      <c r="M263" t="s">
        <v>34</v>
      </c>
      <c r="N263">
        <v>24</v>
      </c>
      <c r="O263">
        <v>24</v>
      </c>
      <c r="P263">
        <v>0.9</v>
      </c>
      <c r="Q263">
        <v>0</v>
      </c>
      <c r="R263">
        <v>18</v>
      </c>
      <c r="S263">
        <v>1</v>
      </c>
      <c r="T263">
        <v>3</v>
      </c>
      <c r="U263">
        <v>0</v>
      </c>
      <c r="V263" t="s">
        <v>41</v>
      </c>
      <c r="W263">
        <v>0</v>
      </c>
      <c r="X263">
        <v>1</v>
      </c>
      <c r="Y263">
        <v>0</v>
      </c>
      <c r="Z263">
        <v>4.3333333333333304</v>
      </c>
      <c r="AA263">
        <v>7.9268292682926802</v>
      </c>
      <c r="AB263">
        <v>6</v>
      </c>
      <c r="AC263">
        <v>3.6937500000000001</v>
      </c>
    </row>
    <row r="264" spans="1:29" x14ac:dyDescent="0.35">
      <c r="A264" t="s">
        <v>344</v>
      </c>
      <c r="B264" t="s">
        <v>106</v>
      </c>
      <c r="C264" s="1">
        <v>45688</v>
      </c>
      <c r="D264" t="s">
        <v>38</v>
      </c>
      <c r="E264" s="2">
        <v>0.72916666666666663</v>
      </c>
      <c r="F264" t="s">
        <v>39</v>
      </c>
      <c r="G264">
        <v>96</v>
      </c>
      <c r="H264">
        <v>95</v>
      </c>
      <c r="I264">
        <v>15</v>
      </c>
      <c r="J264">
        <v>28</v>
      </c>
      <c r="K264" t="s">
        <v>40</v>
      </c>
      <c r="L264">
        <v>0</v>
      </c>
      <c r="M264" t="s">
        <v>34</v>
      </c>
      <c r="N264">
        <v>33</v>
      </c>
      <c r="O264">
        <v>28</v>
      </c>
      <c r="P264">
        <v>9</v>
      </c>
      <c r="Q264">
        <v>0</v>
      </c>
      <c r="R264">
        <v>17</v>
      </c>
      <c r="S264">
        <v>1</v>
      </c>
      <c r="T264">
        <v>4</v>
      </c>
      <c r="U264">
        <v>0</v>
      </c>
      <c r="V264" t="s">
        <v>41</v>
      </c>
      <c r="W264">
        <v>0</v>
      </c>
      <c r="X264">
        <v>0.84848484848484795</v>
      </c>
      <c r="Y264">
        <v>1</v>
      </c>
      <c r="Z264">
        <v>3.4285714285714199</v>
      </c>
      <c r="AA264">
        <v>6.4</v>
      </c>
      <c r="AB264">
        <v>1</v>
      </c>
      <c r="AC264">
        <v>9.4749999999999996</v>
      </c>
    </row>
    <row r="265" spans="1:29" x14ac:dyDescent="0.35">
      <c r="A265" t="s">
        <v>345</v>
      </c>
      <c r="B265" t="s">
        <v>60</v>
      </c>
      <c r="C265" s="1">
        <v>45675</v>
      </c>
      <c r="D265" t="s">
        <v>50</v>
      </c>
      <c r="E265" s="2">
        <v>0.42708333333333331</v>
      </c>
      <c r="F265" t="s">
        <v>39</v>
      </c>
      <c r="G265">
        <v>48</v>
      </c>
      <c r="H265">
        <v>46</v>
      </c>
      <c r="I265">
        <v>12.5</v>
      </c>
      <c r="J265">
        <v>22</v>
      </c>
      <c r="K265" t="s">
        <v>51</v>
      </c>
      <c r="L265">
        <v>0</v>
      </c>
      <c r="M265" t="s">
        <v>148</v>
      </c>
      <c r="N265">
        <v>28</v>
      </c>
      <c r="O265">
        <v>28</v>
      </c>
      <c r="P265">
        <v>5.8</v>
      </c>
      <c r="Q265">
        <v>0</v>
      </c>
      <c r="R265">
        <v>10</v>
      </c>
      <c r="S265">
        <v>1</v>
      </c>
      <c r="T265">
        <v>5</v>
      </c>
      <c r="U265">
        <v>1</v>
      </c>
      <c r="V265" t="s">
        <v>35</v>
      </c>
      <c r="W265">
        <v>1</v>
      </c>
      <c r="X265">
        <v>1</v>
      </c>
      <c r="Y265">
        <v>1</v>
      </c>
      <c r="Z265">
        <v>2.1818181818181799</v>
      </c>
      <c r="AA265">
        <v>3.84</v>
      </c>
      <c r="AB265">
        <v>2</v>
      </c>
      <c r="AC265">
        <v>3.4760869565217298</v>
      </c>
    </row>
    <row r="266" spans="1:29" x14ac:dyDescent="0.35">
      <c r="A266" t="s">
        <v>346</v>
      </c>
      <c r="B266" t="s">
        <v>65</v>
      </c>
      <c r="C266" s="1">
        <v>45682</v>
      </c>
      <c r="D266" t="s">
        <v>50</v>
      </c>
      <c r="E266" s="2">
        <v>0.70833333333333337</v>
      </c>
      <c r="F266" t="s">
        <v>104</v>
      </c>
      <c r="G266">
        <v>65</v>
      </c>
      <c r="H266">
        <v>58</v>
      </c>
      <c r="I266">
        <v>6.8</v>
      </c>
      <c r="J266">
        <v>12</v>
      </c>
      <c r="K266" t="s">
        <v>66</v>
      </c>
      <c r="L266">
        <v>0</v>
      </c>
      <c r="M266" t="s">
        <v>69</v>
      </c>
      <c r="N266">
        <v>22</v>
      </c>
      <c r="O266">
        <v>22</v>
      </c>
      <c r="P266">
        <v>1.3</v>
      </c>
      <c r="Q266">
        <v>0</v>
      </c>
      <c r="R266">
        <v>17</v>
      </c>
      <c r="S266">
        <v>1</v>
      </c>
      <c r="T266">
        <v>5</v>
      </c>
      <c r="U266">
        <v>1</v>
      </c>
      <c r="V266" t="s">
        <v>41</v>
      </c>
      <c r="W266">
        <v>1</v>
      </c>
      <c r="X266">
        <v>1</v>
      </c>
      <c r="Y266">
        <v>0</v>
      </c>
      <c r="Z266">
        <v>5.4166666666666599</v>
      </c>
      <c r="AA266">
        <v>9.5588235294117592</v>
      </c>
      <c r="AB266">
        <v>7</v>
      </c>
      <c r="AC266">
        <v>2.7611111111111102</v>
      </c>
    </row>
    <row r="267" spans="1:29" x14ac:dyDescent="0.35">
      <c r="A267" t="s">
        <v>347</v>
      </c>
      <c r="B267" t="s">
        <v>49</v>
      </c>
      <c r="C267" s="1">
        <v>45678</v>
      </c>
      <c r="D267" t="s">
        <v>44</v>
      </c>
      <c r="E267" s="2">
        <v>0.59375</v>
      </c>
      <c r="F267" t="s">
        <v>39</v>
      </c>
      <c r="G267">
        <v>41</v>
      </c>
      <c r="H267">
        <v>41</v>
      </c>
      <c r="I267">
        <v>8.1999999999999993</v>
      </c>
      <c r="J267">
        <v>15</v>
      </c>
      <c r="K267" t="s">
        <v>51</v>
      </c>
      <c r="L267">
        <v>0</v>
      </c>
      <c r="M267" t="s">
        <v>34</v>
      </c>
      <c r="N267">
        <v>39</v>
      </c>
      <c r="O267">
        <v>38</v>
      </c>
      <c r="P267">
        <v>1.3</v>
      </c>
      <c r="Q267">
        <v>0</v>
      </c>
      <c r="R267">
        <v>14</v>
      </c>
      <c r="S267">
        <v>1</v>
      </c>
      <c r="T267">
        <v>1</v>
      </c>
      <c r="U267">
        <v>0</v>
      </c>
      <c r="V267" t="s">
        <v>35</v>
      </c>
      <c r="W267">
        <v>0</v>
      </c>
      <c r="X267">
        <v>0.97435897435897401</v>
      </c>
      <c r="Y267">
        <v>0</v>
      </c>
      <c r="Z267">
        <v>2.7333333333333298</v>
      </c>
      <c r="AA267">
        <v>5</v>
      </c>
      <c r="AB267">
        <v>0</v>
      </c>
      <c r="AC267">
        <v>3.6937500000000001</v>
      </c>
    </row>
    <row r="268" spans="1:29" x14ac:dyDescent="0.35">
      <c r="A268" t="s">
        <v>348</v>
      </c>
      <c r="B268" t="s">
        <v>102</v>
      </c>
      <c r="C268" s="1">
        <v>45680</v>
      </c>
      <c r="D268" t="s">
        <v>54</v>
      </c>
      <c r="E268" s="2">
        <v>0.40625</v>
      </c>
      <c r="F268" t="s">
        <v>39</v>
      </c>
      <c r="G268">
        <v>66</v>
      </c>
      <c r="H268">
        <v>63</v>
      </c>
      <c r="I268">
        <v>7.3</v>
      </c>
      <c r="J268">
        <v>13</v>
      </c>
      <c r="K268" t="s">
        <v>66</v>
      </c>
      <c r="L268">
        <v>0</v>
      </c>
      <c r="M268" t="s">
        <v>34</v>
      </c>
      <c r="N268">
        <v>20</v>
      </c>
      <c r="O268">
        <v>19</v>
      </c>
      <c r="P268">
        <v>3.1</v>
      </c>
      <c r="Q268">
        <v>0</v>
      </c>
      <c r="R268">
        <v>9</v>
      </c>
      <c r="S268">
        <v>1</v>
      </c>
      <c r="T268">
        <v>3</v>
      </c>
      <c r="U268">
        <v>0</v>
      </c>
      <c r="V268" t="s">
        <v>47</v>
      </c>
      <c r="W268">
        <v>0</v>
      </c>
      <c r="X268">
        <v>0.95</v>
      </c>
      <c r="Y268">
        <v>0</v>
      </c>
      <c r="Z268">
        <v>5.0769230769230704</v>
      </c>
      <c r="AA268">
        <v>9.0410958904109595</v>
      </c>
      <c r="AB268">
        <v>3</v>
      </c>
      <c r="AC268">
        <v>4.0518518518518496</v>
      </c>
    </row>
    <row r="269" spans="1:29" x14ac:dyDescent="0.35">
      <c r="A269" t="s">
        <v>349</v>
      </c>
      <c r="B269" t="s">
        <v>60</v>
      </c>
      <c r="C269" s="1">
        <v>45685</v>
      </c>
      <c r="D269" t="s">
        <v>44</v>
      </c>
      <c r="E269" s="2">
        <v>0.61458333333333337</v>
      </c>
      <c r="F269" t="s">
        <v>58</v>
      </c>
      <c r="G269">
        <v>52</v>
      </c>
      <c r="H269">
        <v>46</v>
      </c>
      <c r="I269">
        <v>12.5</v>
      </c>
      <c r="J269">
        <v>22</v>
      </c>
      <c r="K269" t="s">
        <v>51</v>
      </c>
      <c r="L269">
        <v>0</v>
      </c>
      <c r="M269" t="s">
        <v>34</v>
      </c>
      <c r="N269">
        <v>29</v>
      </c>
      <c r="O269">
        <v>27</v>
      </c>
      <c r="P269">
        <v>4.8</v>
      </c>
      <c r="Q269">
        <v>0</v>
      </c>
      <c r="R269">
        <v>14</v>
      </c>
      <c r="S269">
        <v>1</v>
      </c>
      <c r="T269">
        <v>1</v>
      </c>
      <c r="U269">
        <v>0</v>
      </c>
      <c r="V269" t="s">
        <v>35</v>
      </c>
      <c r="W269">
        <v>0</v>
      </c>
      <c r="X269">
        <v>0.93103448275862</v>
      </c>
      <c r="Y269">
        <v>0</v>
      </c>
      <c r="Z269">
        <v>2.3636363636363602</v>
      </c>
      <c r="AA269">
        <v>4.16</v>
      </c>
      <c r="AB269">
        <v>6</v>
      </c>
      <c r="AC269">
        <v>3.4760869565217298</v>
      </c>
    </row>
    <row r="270" spans="1:29" x14ac:dyDescent="0.35">
      <c r="A270" t="s">
        <v>350</v>
      </c>
      <c r="B270" t="s">
        <v>37</v>
      </c>
      <c r="C270" s="1">
        <v>45661</v>
      </c>
      <c r="D270" t="s">
        <v>50</v>
      </c>
      <c r="E270" s="2">
        <v>0.35416666666666669</v>
      </c>
      <c r="F270" t="s">
        <v>110</v>
      </c>
      <c r="G270">
        <v>58</v>
      </c>
      <c r="H270">
        <v>57</v>
      </c>
      <c r="I270">
        <v>9.5</v>
      </c>
      <c r="J270">
        <v>17</v>
      </c>
      <c r="K270" t="s">
        <v>40</v>
      </c>
      <c r="L270">
        <v>0</v>
      </c>
      <c r="M270" t="s">
        <v>34</v>
      </c>
      <c r="N270">
        <v>30</v>
      </c>
      <c r="O270">
        <v>30</v>
      </c>
      <c r="P270">
        <v>3.8</v>
      </c>
      <c r="Q270">
        <v>0</v>
      </c>
      <c r="R270">
        <v>8</v>
      </c>
      <c r="S270">
        <v>1</v>
      </c>
      <c r="T270">
        <v>5</v>
      </c>
      <c r="U270">
        <v>1</v>
      </c>
      <c r="V270" t="s">
        <v>47</v>
      </c>
      <c r="W270">
        <v>0</v>
      </c>
      <c r="X270">
        <v>1</v>
      </c>
      <c r="Y270">
        <v>0</v>
      </c>
      <c r="Z270">
        <v>3.4117647058823501</v>
      </c>
      <c r="AA270">
        <v>6.1052631578947301</v>
      </c>
      <c r="AB270">
        <v>1</v>
      </c>
      <c r="AC270">
        <v>3.8470588235294101</v>
      </c>
    </row>
    <row r="271" spans="1:29" x14ac:dyDescent="0.35">
      <c r="A271" t="s">
        <v>351</v>
      </c>
      <c r="B271" t="s">
        <v>60</v>
      </c>
      <c r="C271" s="1">
        <v>45710</v>
      </c>
      <c r="D271" t="s">
        <v>50</v>
      </c>
      <c r="E271" s="2">
        <v>0.52083333333333337</v>
      </c>
      <c r="F271" t="s">
        <v>84</v>
      </c>
      <c r="G271">
        <v>47</v>
      </c>
      <c r="H271">
        <v>40</v>
      </c>
      <c r="I271">
        <v>12.5</v>
      </c>
      <c r="J271">
        <v>22</v>
      </c>
      <c r="K271" t="s">
        <v>51</v>
      </c>
      <c r="L271">
        <v>0</v>
      </c>
      <c r="M271" t="s">
        <v>69</v>
      </c>
      <c r="N271">
        <v>23</v>
      </c>
      <c r="O271">
        <v>23</v>
      </c>
      <c r="P271">
        <v>9.4</v>
      </c>
      <c r="Q271">
        <v>0</v>
      </c>
      <c r="R271">
        <v>12</v>
      </c>
      <c r="S271">
        <v>2</v>
      </c>
      <c r="T271">
        <v>5</v>
      </c>
      <c r="U271">
        <v>1</v>
      </c>
      <c r="V271" t="s">
        <v>35</v>
      </c>
      <c r="W271">
        <v>1</v>
      </c>
      <c r="X271">
        <v>1</v>
      </c>
      <c r="Y271">
        <v>1</v>
      </c>
      <c r="Z271">
        <v>2.13636363636363</v>
      </c>
      <c r="AA271">
        <v>3.76</v>
      </c>
      <c r="AB271">
        <v>7</v>
      </c>
      <c r="AC271">
        <v>3.4760869565217298</v>
      </c>
    </row>
    <row r="272" spans="1:29" x14ac:dyDescent="0.35">
      <c r="A272" t="s">
        <v>352</v>
      </c>
      <c r="B272" t="s">
        <v>72</v>
      </c>
      <c r="C272" s="1">
        <v>45663</v>
      </c>
      <c r="D272" t="s">
        <v>87</v>
      </c>
      <c r="E272" s="2">
        <v>0.54166666666666663</v>
      </c>
      <c r="F272" t="s">
        <v>110</v>
      </c>
      <c r="G272">
        <v>45</v>
      </c>
      <c r="H272">
        <v>44</v>
      </c>
      <c r="I272">
        <v>11.6</v>
      </c>
      <c r="J272">
        <v>21</v>
      </c>
      <c r="K272" t="s">
        <v>33</v>
      </c>
      <c r="L272">
        <v>0</v>
      </c>
      <c r="M272" t="s">
        <v>34</v>
      </c>
      <c r="N272">
        <v>24</v>
      </c>
      <c r="O272">
        <v>24</v>
      </c>
      <c r="P272">
        <v>4.8</v>
      </c>
      <c r="Q272">
        <v>0</v>
      </c>
      <c r="R272">
        <v>13</v>
      </c>
      <c r="S272">
        <v>1</v>
      </c>
      <c r="T272">
        <v>0</v>
      </c>
      <c r="U272">
        <v>0</v>
      </c>
      <c r="V272" t="s">
        <v>35</v>
      </c>
      <c r="W272">
        <v>0</v>
      </c>
      <c r="X272">
        <v>1</v>
      </c>
      <c r="Y272">
        <v>0</v>
      </c>
      <c r="Z272">
        <v>2.1428571428571401</v>
      </c>
      <c r="AA272">
        <v>3.8793103448275801</v>
      </c>
      <c r="AB272">
        <v>1</v>
      </c>
      <c r="AC272">
        <v>2.80217391304347</v>
      </c>
    </row>
    <row r="273" spans="1:29" x14ac:dyDescent="0.35">
      <c r="A273" t="s">
        <v>353</v>
      </c>
      <c r="B273" t="s">
        <v>102</v>
      </c>
      <c r="C273" s="1">
        <v>45714</v>
      </c>
      <c r="D273" t="s">
        <v>78</v>
      </c>
      <c r="E273" s="2">
        <v>0.78125</v>
      </c>
      <c r="F273" t="s">
        <v>119</v>
      </c>
      <c r="G273">
        <v>60</v>
      </c>
      <c r="H273">
        <v>57</v>
      </c>
      <c r="I273">
        <v>7.3</v>
      </c>
      <c r="J273">
        <v>13</v>
      </c>
      <c r="K273" t="s">
        <v>66</v>
      </c>
      <c r="L273">
        <v>0</v>
      </c>
      <c r="M273" t="s">
        <v>34</v>
      </c>
      <c r="N273">
        <v>30</v>
      </c>
      <c r="O273">
        <v>29</v>
      </c>
      <c r="P273">
        <v>4.2</v>
      </c>
      <c r="Q273">
        <v>0</v>
      </c>
      <c r="R273">
        <v>18</v>
      </c>
      <c r="S273">
        <v>2</v>
      </c>
      <c r="T273">
        <v>2</v>
      </c>
      <c r="U273">
        <v>0</v>
      </c>
      <c r="V273" t="s">
        <v>41</v>
      </c>
      <c r="W273">
        <v>0</v>
      </c>
      <c r="X273">
        <v>0.96666666666666601</v>
      </c>
      <c r="Y273">
        <v>0</v>
      </c>
      <c r="Z273">
        <v>4.6153846153846096</v>
      </c>
      <c r="AA273">
        <v>8.2191780821917799</v>
      </c>
      <c r="AB273">
        <v>3</v>
      </c>
      <c r="AC273">
        <v>4.0518518518518496</v>
      </c>
    </row>
    <row r="274" spans="1:29" x14ac:dyDescent="0.35">
      <c r="A274" t="s">
        <v>354</v>
      </c>
      <c r="B274" t="s">
        <v>60</v>
      </c>
      <c r="C274" s="1">
        <v>45663</v>
      </c>
      <c r="D274" t="s">
        <v>87</v>
      </c>
      <c r="E274" s="2">
        <v>0.61458333333333337</v>
      </c>
      <c r="F274" t="s">
        <v>68</v>
      </c>
      <c r="G274">
        <v>32</v>
      </c>
      <c r="H274">
        <v>30</v>
      </c>
      <c r="I274">
        <v>12.5</v>
      </c>
      <c r="J274">
        <v>22</v>
      </c>
      <c r="K274" t="s">
        <v>51</v>
      </c>
      <c r="L274">
        <v>0</v>
      </c>
      <c r="M274" t="s">
        <v>34</v>
      </c>
      <c r="N274">
        <v>38</v>
      </c>
      <c r="O274">
        <v>35</v>
      </c>
      <c r="P274">
        <v>5.9</v>
      </c>
      <c r="Q274">
        <v>0</v>
      </c>
      <c r="R274">
        <v>14</v>
      </c>
      <c r="S274">
        <v>1</v>
      </c>
      <c r="T274">
        <v>0</v>
      </c>
      <c r="U274">
        <v>0</v>
      </c>
      <c r="V274" t="s">
        <v>35</v>
      </c>
      <c r="W274">
        <v>0</v>
      </c>
      <c r="X274">
        <v>0.92105263157894701</v>
      </c>
      <c r="Y274">
        <v>1</v>
      </c>
      <c r="Z274">
        <v>1.4545454545454499</v>
      </c>
      <c r="AA274">
        <v>2.56</v>
      </c>
      <c r="AB274">
        <v>2</v>
      </c>
      <c r="AC274">
        <v>3.4760869565217298</v>
      </c>
    </row>
    <row r="275" spans="1:29" x14ac:dyDescent="0.35">
      <c r="A275" t="s">
        <v>355</v>
      </c>
      <c r="B275" t="s">
        <v>60</v>
      </c>
      <c r="C275" s="1">
        <v>45689</v>
      </c>
      <c r="D275" t="s">
        <v>50</v>
      </c>
      <c r="E275" s="2">
        <v>0.69791666666666663</v>
      </c>
      <c r="F275" t="s">
        <v>45</v>
      </c>
      <c r="G275">
        <v>33</v>
      </c>
      <c r="H275">
        <v>29</v>
      </c>
      <c r="I275">
        <v>12.5</v>
      </c>
      <c r="J275">
        <v>22</v>
      </c>
      <c r="K275" t="s">
        <v>51</v>
      </c>
      <c r="L275">
        <v>0</v>
      </c>
      <c r="M275" t="s">
        <v>34</v>
      </c>
      <c r="N275">
        <v>32</v>
      </c>
      <c r="O275">
        <v>30</v>
      </c>
      <c r="P275">
        <v>2.2999999999999998</v>
      </c>
      <c r="Q275">
        <v>0</v>
      </c>
      <c r="R275">
        <v>16</v>
      </c>
      <c r="S275">
        <v>2</v>
      </c>
      <c r="T275">
        <v>5</v>
      </c>
      <c r="U275">
        <v>1</v>
      </c>
      <c r="V275" t="s">
        <v>35</v>
      </c>
      <c r="W275">
        <v>0</v>
      </c>
      <c r="X275">
        <v>0.9375</v>
      </c>
      <c r="Y275">
        <v>0</v>
      </c>
      <c r="Z275">
        <v>1.5</v>
      </c>
      <c r="AA275">
        <v>2.64</v>
      </c>
      <c r="AB275">
        <v>4</v>
      </c>
      <c r="AC275">
        <v>3.4760869565217298</v>
      </c>
    </row>
    <row r="276" spans="1:29" x14ac:dyDescent="0.35">
      <c r="A276" t="s">
        <v>356</v>
      </c>
      <c r="B276" t="s">
        <v>60</v>
      </c>
      <c r="C276" s="1">
        <v>45714</v>
      </c>
      <c r="D276" t="s">
        <v>78</v>
      </c>
      <c r="E276" s="2">
        <v>0.46875</v>
      </c>
      <c r="F276" t="s">
        <v>45</v>
      </c>
      <c r="G276">
        <v>50</v>
      </c>
      <c r="H276">
        <v>45</v>
      </c>
      <c r="I276">
        <v>12.5</v>
      </c>
      <c r="J276">
        <v>22</v>
      </c>
      <c r="K276" t="s">
        <v>51</v>
      </c>
      <c r="L276">
        <v>0</v>
      </c>
      <c r="M276" t="s">
        <v>34</v>
      </c>
      <c r="N276">
        <v>29</v>
      </c>
      <c r="O276">
        <v>27</v>
      </c>
      <c r="P276">
        <v>1.7</v>
      </c>
      <c r="Q276">
        <v>0</v>
      </c>
      <c r="R276">
        <v>11</v>
      </c>
      <c r="S276">
        <v>2</v>
      </c>
      <c r="T276">
        <v>2</v>
      </c>
      <c r="U276">
        <v>0</v>
      </c>
      <c r="V276" t="s">
        <v>35</v>
      </c>
      <c r="W276">
        <v>0</v>
      </c>
      <c r="X276">
        <v>0.93103448275862</v>
      </c>
      <c r="Y276">
        <v>0</v>
      </c>
      <c r="Z276">
        <v>2.2727272727272698</v>
      </c>
      <c r="AA276">
        <v>4</v>
      </c>
      <c r="AB276">
        <v>5</v>
      </c>
      <c r="AC276">
        <v>3.4760869565217298</v>
      </c>
    </row>
    <row r="277" spans="1:29" x14ac:dyDescent="0.35">
      <c r="A277" t="s">
        <v>357</v>
      </c>
      <c r="B277" t="s">
        <v>49</v>
      </c>
      <c r="C277" s="1">
        <v>45674</v>
      </c>
      <c r="D277" t="s">
        <v>38</v>
      </c>
      <c r="E277" s="2">
        <v>0.60416666666666663</v>
      </c>
      <c r="F277" t="s">
        <v>61</v>
      </c>
      <c r="G277">
        <v>36</v>
      </c>
      <c r="H277">
        <v>33</v>
      </c>
      <c r="I277">
        <v>8.1999999999999993</v>
      </c>
      <c r="J277">
        <v>15</v>
      </c>
      <c r="K277" t="s">
        <v>51</v>
      </c>
      <c r="L277">
        <v>0</v>
      </c>
      <c r="M277" t="s">
        <v>34</v>
      </c>
      <c r="N277">
        <v>18</v>
      </c>
      <c r="O277">
        <v>17</v>
      </c>
      <c r="P277">
        <v>0.6</v>
      </c>
      <c r="Q277">
        <v>0</v>
      </c>
      <c r="R277">
        <v>14</v>
      </c>
      <c r="S277">
        <v>1</v>
      </c>
      <c r="T277">
        <v>4</v>
      </c>
      <c r="U277">
        <v>0</v>
      </c>
      <c r="V277" t="s">
        <v>35</v>
      </c>
      <c r="W277">
        <v>0</v>
      </c>
      <c r="X277">
        <v>0.94444444444444398</v>
      </c>
      <c r="Y277">
        <v>0</v>
      </c>
      <c r="Z277">
        <v>2.4</v>
      </c>
      <c r="AA277">
        <v>4.3902439024390203</v>
      </c>
      <c r="AB277">
        <v>3</v>
      </c>
      <c r="AC277">
        <v>3.6937500000000001</v>
      </c>
    </row>
    <row r="278" spans="1:29" x14ac:dyDescent="0.35">
      <c r="A278" t="s">
        <v>358</v>
      </c>
      <c r="B278" t="s">
        <v>72</v>
      </c>
      <c r="C278" s="1">
        <v>45716</v>
      </c>
      <c r="D278" t="s">
        <v>38</v>
      </c>
      <c r="E278" s="2">
        <v>0.75</v>
      </c>
      <c r="F278" t="s">
        <v>45</v>
      </c>
      <c r="G278">
        <v>70</v>
      </c>
      <c r="H278">
        <v>63</v>
      </c>
      <c r="I278">
        <v>11.6</v>
      </c>
      <c r="J278">
        <v>21</v>
      </c>
      <c r="K278" t="s">
        <v>33</v>
      </c>
      <c r="L278">
        <v>0</v>
      </c>
      <c r="M278" t="s">
        <v>34</v>
      </c>
      <c r="N278">
        <v>27</v>
      </c>
      <c r="O278">
        <v>27</v>
      </c>
      <c r="P278">
        <v>1.4</v>
      </c>
      <c r="Q278">
        <v>0</v>
      </c>
      <c r="R278">
        <v>18</v>
      </c>
      <c r="S278">
        <v>2</v>
      </c>
      <c r="T278">
        <v>4</v>
      </c>
      <c r="U278">
        <v>0</v>
      </c>
      <c r="V278" t="s">
        <v>41</v>
      </c>
      <c r="W278">
        <v>0</v>
      </c>
      <c r="X278">
        <v>1</v>
      </c>
      <c r="Y278">
        <v>0</v>
      </c>
      <c r="Z278">
        <v>3.3333333333333299</v>
      </c>
      <c r="AA278">
        <v>6.0344827586206797</v>
      </c>
      <c r="AB278">
        <v>7</v>
      </c>
      <c r="AC278">
        <v>2.80217391304347</v>
      </c>
    </row>
    <row r="279" spans="1:29" x14ac:dyDescent="0.35">
      <c r="A279" t="s">
        <v>359</v>
      </c>
      <c r="B279" t="s">
        <v>72</v>
      </c>
      <c r="C279" s="1">
        <v>45699</v>
      </c>
      <c r="D279" t="s">
        <v>44</v>
      </c>
      <c r="E279" s="2">
        <v>0.57291666666666663</v>
      </c>
      <c r="F279" t="s">
        <v>110</v>
      </c>
      <c r="G279">
        <v>62</v>
      </c>
      <c r="H279">
        <v>55</v>
      </c>
      <c r="I279">
        <v>11.6</v>
      </c>
      <c r="J279">
        <v>21</v>
      </c>
      <c r="K279" t="s">
        <v>33</v>
      </c>
      <c r="L279">
        <v>0</v>
      </c>
      <c r="M279" t="s">
        <v>34</v>
      </c>
      <c r="N279">
        <v>18</v>
      </c>
      <c r="O279">
        <v>17</v>
      </c>
      <c r="P279">
        <v>2.9</v>
      </c>
      <c r="Q279">
        <v>0</v>
      </c>
      <c r="R279">
        <v>13</v>
      </c>
      <c r="S279">
        <v>2</v>
      </c>
      <c r="T279">
        <v>1</v>
      </c>
      <c r="U279">
        <v>0</v>
      </c>
      <c r="V279" t="s">
        <v>35</v>
      </c>
      <c r="W279">
        <v>0</v>
      </c>
      <c r="X279">
        <v>0.94444444444444398</v>
      </c>
      <c r="Y279">
        <v>0</v>
      </c>
      <c r="Z279">
        <v>2.9523809523809499</v>
      </c>
      <c r="AA279">
        <v>5.3448275862068897</v>
      </c>
      <c r="AB279">
        <v>7</v>
      </c>
      <c r="AC279">
        <v>2.80217391304347</v>
      </c>
    </row>
    <row r="280" spans="1:29" x14ac:dyDescent="0.35">
      <c r="A280" t="s">
        <v>360</v>
      </c>
      <c r="B280" t="s">
        <v>106</v>
      </c>
      <c r="C280" s="1">
        <v>45675</v>
      </c>
      <c r="D280" t="s">
        <v>50</v>
      </c>
      <c r="E280" s="2">
        <v>0.67708333333333337</v>
      </c>
      <c r="F280" t="s">
        <v>107</v>
      </c>
      <c r="G280">
        <v>66</v>
      </c>
      <c r="H280">
        <v>61</v>
      </c>
      <c r="I280">
        <v>15</v>
      </c>
      <c r="J280">
        <v>28</v>
      </c>
      <c r="K280" t="s">
        <v>40</v>
      </c>
      <c r="L280">
        <v>0</v>
      </c>
      <c r="M280" t="s">
        <v>148</v>
      </c>
      <c r="N280">
        <v>30</v>
      </c>
      <c r="O280">
        <v>28</v>
      </c>
      <c r="P280">
        <v>9.1</v>
      </c>
      <c r="Q280">
        <v>0</v>
      </c>
      <c r="R280">
        <v>16</v>
      </c>
      <c r="S280">
        <v>1</v>
      </c>
      <c r="T280">
        <v>5</v>
      </c>
      <c r="U280">
        <v>1</v>
      </c>
      <c r="V280" t="s">
        <v>35</v>
      </c>
      <c r="W280">
        <v>1</v>
      </c>
      <c r="X280">
        <v>0.93333333333333302</v>
      </c>
      <c r="Y280">
        <v>1</v>
      </c>
      <c r="Z280">
        <v>2.3571428571428501</v>
      </c>
      <c r="AA280">
        <v>4.4000000000000004</v>
      </c>
      <c r="AB280">
        <v>5</v>
      </c>
      <c r="AC280">
        <v>9.4749999999999996</v>
      </c>
    </row>
    <row r="281" spans="1:29" x14ac:dyDescent="0.35">
      <c r="A281" t="s">
        <v>361</v>
      </c>
      <c r="B281" t="s">
        <v>60</v>
      </c>
      <c r="C281" s="1">
        <v>45685</v>
      </c>
      <c r="D281" t="s">
        <v>44</v>
      </c>
      <c r="E281" s="2">
        <v>0.65625</v>
      </c>
      <c r="F281" t="s">
        <v>39</v>
      </c>
      <c r="G281">
        <v>54</v>
      </c>
      <c r="H281">
        <v>52</v>
      </c>
      <c r="I281">
        <v>12.5</v>
      </c>
      <c r="J281">
        <v>22</v>
      </c>
      <c r="K281" t="s">
        <v>51</v>
      </c>
      <c r="L281">
        <v>0</v>
      </c>
      <c r="M281" t="s">
        <v>34</v>
      </c>
      <c r="N281">
        <v>29</v>
      </c>
      <c r="O281">
        <v>27</v>
      </c>
      <c r="P281">
        <v>4.8</v>
      </c>
      <c r="Q281">
        <v>0</v>
      </c>
      <c r="R281">
        <v>15</v>
      </c>
      <c r="S281">
        <v>1</v>
      </c>
      <c r="T281">
        <v>1</v>
      </c>
      <c r="U281">
        <v>0</v>
      </c>
      <c r="V281" t="s">
        <v>35</v>
      </c>
      <c r="W281">
        <v>0</v>
      </c>
      <c r="X281">
        <v>0.93103448275862</v>
      </c>
      <c r="Y281">
        <v>0</v>
      </c>
      <c r="Z281">
        <v>2.4545454545454501</v>
      </c>
      <c r="AA281">
        <v>4.32</v>
      </c>
      <c r="AB281">
        <v>2</v>
      </c>
      <c r="AC281">
        <v>3.4760869565217298</v>
      </c>
    </row>
    <row r="282" spans="1:29" x14ac:dyDescent="0.35">
      <c r="A282" t="s">
        <v>362</v>
      </c>
      <c r="B282" t="s">
        <v>37</v>
      </c>
      <c r="C282" s="1">
        <v>45695</v>
      </c>
      <c r="D282" t="s">
        <v>38</v>
      </c>
      <c r="E282" s="2">
        <v>0.66666666666666663</v>
      </c>
      <c r="F282" t="s">
        <v>61</v>
      </c>
      <c r="G282">
        <v>44</v>
      </c>
      <c r="H282">
        <v>42</v>
      </c>
      <c r="I282">
        <v>9.5</v>
      </c>
      <c r="J282">
        <v>17</v>
      </c>
      <c r="K282" t="s">
        <v>40</v>
      </c>
      <c r="L282">
        <v>0</v>
      </c>
      <c r="M282" t="s">
        <v>34</v>
      </c>
      <c r="N282">
        <v>19</v>
      </c>
      <c r="O282">
        <v>18</v>
      </c>
      <c r="P282">
        <v>2.4</v>
      </c>
      <c r="Q282">
        <v>0</v>
      </c>
      <c r="R282">
        <v>16</v>
      </c>
      <c r="S282">
        <v>2</v>
      </c>
      <c r="T282">
        <v>4</v>
      </c>
      <c r="U282">
        <v>0</v>
      </c>
      <c r="V282" t="s">
        <v>35</v>
      </c>
      <c r="W282">
        <v>0</v>
      </c>
      <c r="X282">
        <v>0.94736842105263097</v>
      </c>
      <c r="Y282">
        <v>0</v>
      </c>
      <c r="Z282">
        <v>2.5882352941176401</v>
      </c>
      <c r="AA282">
        <v>4.6315789473684204</v>
      </c>
      <c r="AB282">
        <v>2</v>
      </c>
      <c r="AC282">
        <v>3.8470588235294101</v>
      </c>
    </row>
    <row r="283" spans="1:29" x14ac:dyDescent="0.35">
      <c r="A283" t="s">
        <v>363</v>
      </c>
      <c r="B283" t="s">
        <v>57</v>
      </c>
      <c r="C283" s="1">
        <v>45688</v>
      </c>
      <c r="D283" t="s">
        <v>38</v>
      </c>
      <c r="E283" s="2">
        <v>0.375</v>
      </c>
      <c r="F283" t="s">
        <v>61</v>
      </c>
      <c r="G283">
        <v>107</v>
      </c>
      <c r="H283">
        <v>101</v>
      </c>
      <c r="I283">
        <v>14.2</v>
      </c>
      <c r="J283">
        <v>25</v>
      </c>
      <c r="K283" t="s">
        <v>46</v>
      </c>
      <c r="L283">
        <v>0</v>
      </c>
      <c r="M283" t="s">
        <v>34</v>
      </c>
      <c r="N283">
        <v>33</v>
      </c>
      <c r="O283">
        <v>30</v>
      </c>
      <c r="P283">
        <v>4.5</v>
      </c>
      <c r="Q283">
        <v>0</v>
      </c>
      <c r="R283">
        <v>9</v>
      </c>
      <c r="S283">
        <v>1</v>
      </c>
      <c r="T283">
        <v>4</v>
      </c>
      <c r="U283">
        <v>0</v>
      </c>
      <c r="V283" t="s">
        <v>47</v>
      </c>
      <c r="W283">
        <v>0</v>
      </c>
      <c r="X283">
        <v>0.90909090909090895</v>
      </c>
      <c r="Y283">
        <v>0</v>
      </c>
      <c r="Z283">
        <v>4.28</v>
      </c>
      <c r="AA283">
        <v>7.5352112676056304</v>
      </c>
      <c r="AB283">
        <v>6</v>
      </c>
      <c r="AC283">
        <v>8.3255319148936096</v>
      </c>
    </row>
    <row r="284" spans="1:29" x14ac:dyDescent="0.35">
      <c r="A284" t="s">
        <v>364</v>
      </c>
      <c r="B284" t="s">
        <v>106</v>
      </c>
      <c r="C284" s="1">
        <v>45689</v>
      </c>
      <c r="D284" t="s">
        <v>50</v>
      </c>
      <c r="E284" s="2">
        <v>0.39583333333333331</v>
      </c>
      <c r="F284" t="s">
        <v>110</v>
      </c>
      <c r="G284">
        <v>71</v>
      </c>
      <c r="H284">
        <v>64</v>
      </c>
      <c r="I284">
        <v>15</v>
      </c>
      <c r="J284">
        <v>28</v>
      </c>
      <c r="K284" t="s">
        <v>40</v>
      </c>
      <c r="L284">
        <v>0</v>
      </c>
      <c r="M284" t="s">
        <v>34</v>
      </c>
      <c r="N284">
        <v>20</v>
      </c>
      <c r="O284">
        <v>17</v>
      </c>
      <c r="P284">
        <v>10.4</v>
      </c>
      <c r="Q284">
        <v>0</v>
      </c>
      <c r="R284">
        <v>9</v>
      </c>
      <c r="S284">
        <v>2</v>
      </c>
      <c r="T284">
        <v>5</v>
      </c>
      <c r="U284">
        <v>1</v>
      </c>
      <c r="V284" t="s">
        <v>47</v>
      </c>
      <c r="W284">
        <v>0</v>
      </c>
      <c r="X284">
        <v>0.85</v>
      </c>
      <c r="Y284">
        <v>1</v>
      </c>
      <c r="Z284">
        <v>2.5357142857142798</v>
      </c>
      <c r="AA284">
        <v>4.7333333333333298</v>
      </c>
      <c r="AB284">
        <v>7</v>
      </c>
      <c r="AC284">
        <v>9.4749999999999996</v>
      </c>
    </row>
    <row r="285" spans="1:29" x14ac:dyDescent="0.35">
      <c r="A285" t="s">
        <v>365</v>
      </c>
      <c r="B285" t="s">
        <v>60</v>
      </c>
      <c r="C285" s="1">
        <v>45671</v>
      </c>
      <c r="D285" t="s">
        <v>44</v>
      </c>
      <c r="E285" s="2">
        <v>0.42708333333333331</v>
      </c>
      <c r="F285" t="s">
        <v>55</v>
      </c>
      <c r="G285">
        <v>51</v>
      </c>
      <c r="H285">
        <v>43</v>
      </c>
      <c r="I285">
        <v>12.5</v>
      </c>
      <c r="J285">
        <v>22</v>
      </c>
      <c r="K285" t="s">
        <v>51</v>
      </c>
      <c r="L285">
        <v>1</v>
      </c>
      <c r="M285" t="s">
        <v>34</v>
      </c>
      <c r="N285">
        <v>20</v>
      </c>
      <c r="O285">
        <v>19</v>
      </c>
      <c r="P285">
        <v>2</v>
      </c>
      <c r="Q285">
        <v>0</v>
      </c>
      <c r="R285">
        <v>10</v>
      </c>
      <c r="S285">
        <v>1</v>
      </c>
      <c r="T285">
        <v>1</v>
      </c>
      <c r="U285">
        <v>0</v>
      </c>
      <c r="V285" t="s">
        <v>35</v>
      </c>
      <c r="W285">
        <v>0</v>
      </c>
      <c r="X285">
        <v>0.95</v>
      </c>
      <c r="Y285">
        <v>0</v>
      </c>
      <c r="Z285">
        <v>2.3181818181818099</v>
      </c>
      <c r="AA285">
        <v>4.08</v>
      </c>
      <c r="AB285">
        <v>8</v>
      </c>
      <c r="AC285">
        <v>3.4760869565217298</v>
      </c>
    </row>
    <row r="286" spans="1:29" x14ac:dyDescent="0.35">
      <c r="A286" t="s">
        <v>366</v>
      </c>
      <c r="B286" t="s">
        <v>49</v>
      </c>
      <c r="C286" s="1">
        <v>45671</v>
      </c>
      <c r="D286" t="s">
        <v>44</v>
      </c>
      <c r="E286" s="2">
        <v>0.36458333333333331</v>
      </c>
      <c r="F286" t="s">
        <v>73</v>
      </c>
      <c r="G286">
        <v>71</v>
      </c>
      <c r="H286">
        <v>64</v>
      </c>
      <c r="I286">
        <v>8.1999999999999993</v>
      </c>
      <c r="J286">
        <v>15</v>
      </c>
      <c r="K286" t="s">
        <v>51</v>
      </c>
      <c r="L286">
        <v>1</v>
      </c>
      <c r="M286" t="s">
        <v>34</v>
      </c>
      <c r="N286">
        <v>29</v>
      </c>
      <c r="O286">
        <v>28</v>
      </c>
      <c r="P286">
        <v>1.9</v>
      </c>
      <c r="Q286">
        <v>0</v>
      </c>
      <c r="R286">
        <v>8</v>
      </c>
      <c r="S286">
        <v>1</v>
      </c>
      <c r="T286">
        <v>1</v>
      </c>
      <c r="U286">
        <v>0</v>
      </c>
      <c r="V286" t="s">
        <v>47</v>
      </c>
      <c r="W286">
        <v>0</v>
      </c>
      <c r="X286">
        <v>0.96551724137931005</v>
      </c>
      <c r="Y286">
        <v>0</v>
      </c>
      <c r="Z286">
        <v>4.7333333333333298</v>
      </c>
      <c r="AA286">
        <v>8.6585365853658498</v>
      </c>
      <c r="AB286">
        <v>7</v>
      </c>
      <c r="AC286">
        <v>3.6937500000000001</v>
      </c>
    </row>
    <row r="287" spans="1:29" x14ac:dyDescent="0.35">
      <c r="A287" t="s">
        <v>367</v>
      </c>
      <c r="B287" t="s">
        <v>30</v>
      </c>
      <c r="C287" s="1">
        <v>45696</v>
      </c>
      <c r="D287" t="s">
        <v>50</v>
      </c>
      <c r="E287" s="2">
        <v>0.57291666666666663</v>
      </c>
      <c r="F287" t="s">
        <v>55</v>
      </c>
      <c r="G287">
        <v>56</v>
      </c>
      <c r="H287">
        <v>53</v>
      </c>
      <c r="I287">
        <v>10.1</v>
      </c>
      <c r="J287">
        <v>19</v>
      </c>
      <c r="K287" t="s">
        <v>33</v>
      </c>
      <c r="L287">
        <v>0</v>
      </c>
      <c r="M287" t="s">
        <v>52</v>
      </c>
      <c r="N287">
        <v>36</v>
      </c>
      <c r="O287">
        <v>35</v>
      </c>
      <c r="P287">
        <v>3.2</v>
      </c>
      <c r="Q287">
        <v>0</v>
      </c>
      <c r="R287">
        <v>13</v>
      </c>
      <c r="S287">
        <v>2</v>
      </c>
      <c r="T287">
        <v>5</v>
      </c>
      <c r="U287">
        <v>1</v>
      </c>
      <c r="V287" t="s">
        <v>35</v>
      </c>
      <c r="W287">
        <v>1</v>
      </c>
      <c r="X287">
        <v>0.97222222222222199</v>
      </c>
      <c r="Y287">
        <v>0</v>
      </c>
      <c r="Z287">
        <v>2.9473684210526301</v>
      </c>
      <c r="AA287">
        <v>5.5445544554455397</v>
      </c>
      <c r="AB287">
        <v>3</v>
      </c>
      <c r="AC287">
        <v>3.6613636363636299</v>
      </c>
    </row>
    <row r="288" spans="1:29" x14ac:dyDescent="0.35">
      <c r="A288" t="s">
        <v>368</v>
      </c>
      <c r="B288" t="s">
        <v>106</v>
      </c>
      <c r="C288" s="1">
        <v>45710</v>
      </c>
      <c r="D288" t="s">
        <v>50</v>
      </c>
      <c r="E288" s="2">
        <v>0.8125</v>
      </c>
      <c r="F288" t="s">
        <v>61</v>
      </c>
      <c r="G288">
        <v>89</v>
      </c>
      <c r="H288">
        <v>89</v>
      </c>
      <c r="I288">
        <v>15</v>
      </c>
      <c r="J288">
        <v>28</v>
      </c>
      <c r="K288" t="s">
        <v>40</v>
      </c>
      <c r="L288">
        <v>0</v>
      </c>
      <c r="M288" t="s">
        <v>69</v>
      </c>
      <c r="N288">
        <v>28</v>
      </c>
      <c r="O288">
        <v>26</v>
      </c>
      <c r="P288">
        <v>9.6</v>
      </c>
      <c r="Q288">
        <v>0</v>
      </c>
      <c r="R288">
        <v>19</v>
      </c>
      <c r="S288">
        <v>2</v>
      </c>
      <c r="T288">
        <v>5</v>
      </c>
      <c r="U288">
        <v>1</v>
      </c>
      <c r="V288" t="s">
        <v>41</v>
      </c>
      <c r="W288">
        <v>1</v>
      </c>
      <c r="X288">
        <v>0.92857142857142805</v>
      </c>
      <c r="Y288">
        <v>1</v>
      </c>
      <c r="Z288">
        <v>3.1785714285714199</v>
      </c>
      <c r="AA288">
        <v>5.93333333333333</v>
      </c>
      <c r="AB288">
        <v>0</v>
      </c>
      <c r="AC288">
        <v>9.4749999999999996</v>
      </c>
    </row>
    <row r="289" spans="1:29" x14ac:dyDescent="0.35">
      <c r="A289" t="s">
        <v>369</v>
      </c>
      <c r="B289" t="s">
        <v>57</v>
      </c>
      <c r="C289" s="1">
        <v>45701</v>
      </c>
      <c r="D289" t="s">
        <v>54</v>
      </c>
      <c r="E289" s="2">
        <v>0.47916666666666669</v>
      </c>
      <c r="F289" t="s">
        <v>119</v>
      </c>
      <c r="G289">
        <v>43</v>
      </c>
      <c r="H289">
        <v>42</v>
      </c>
      <c r="I289">
        <v>14.2</v>
      </c>
      <c r="J289">
        <v>25</v>
      </c>
      <c r="K289" t="s">
        <v>46</v>
      </c>
      <c r="L289">
        <v>0</v>
      </c>
      <c r="M289" t="s">
        <v>34</v>
      </c>
      <c r="N289">
        <v>27</v>
      </c>
      <c r="O289">
        <v>24</v>
      </c>
      <c r="P289">
        <v>6.7</v>
      </c>
      <c r="Q289">
        <v>0</v>
      </c>
      <c r="R289">
        <v>11</v>
      </c>
      <c r="S289">
        <v>2</v>
      </c>
      <c r="T289">
        <v>3</v>
      </c>
      <c r="U289">
        <v>0</v>
      </c>
      <c r="V289" t="s">
        <v>35</v>
      </c>
      <c r="W289">
        <v>0</v>
      </c>
      <c r="X289">
        <v>0.88888888888888795</v>
      </c>
      <c r="Y289">
        <v>1</v>
      </c>
      <c r="Z289">
        <v>1.72</v>
      </c>
      <c r="AA289">
        <v>3.0281690140844999</v>
      </c>
      <c r="AB289">
        <v>1</v>
      </c>
      <c r="AC289">
        <v>8.3255319148936096</v>
      </c>
    </row>
    <row r="290" spans="1:29" x14ac:dyDescent="0.35">
      <c r="A290" t="s">
        <v>370</v>
      </c>
      <c r="B290" t="s">
        <v>43</v>
      </c>
      <c r="C290" s="1">
        <v>45660</v>
      </c>
      <c r="D290" t="s">
        <v>38</v>
      </c>
      <c r="E290" s="2">
        <v>0.67708333333333337</v>
      </c>
      <c r="F290" t="s">
        <v>125</v>
      </c>
      <c r="G290">
        <v>47</v>
      </c>
      <c r="H290">
        <v>44</v>
      </c>
      <c r="I290">
        <v>18.399999999999999</v>
      </c>
      <c r="J290">
        <v>32</v>
      </c>
      <c r="K290" t="s">
        <v>46</v>
      </c>
      <c r="L290">
        <v>0</v>
      </c>
      <c r="M290" t="s">
        <v>34</v>
      </c>
      <c r="N290">
        <v>34</v>
      </c>
      <c r="O290">
        <v>32</v>
      </c>
      <c r="P290">
        <v>7.2</v>
      </c>
      <c r="Q290">
        <v>0</v>
      </c>
      <c r="R290">
        <v>16</v>
      </c>
      <c r="S290">
        <v>1</v>
      </c>
      <c r="T290">
        <v>4</v>
      </c>
      <c r="U290">
        <v>0</v>
      </c>
      <c r="V290" t="s">
        <v>35</v>
      </c>
      <c r="W290">
        <v>0</v>
      </c>
      <c r="X290">
        <v>0.94117647058823495</v>
      </c>
      <c r="Y290">
        <v>1</v>
      </c>
      <c r="Z290">
        <v>1.46875</v>
      </c>
      <c r="AA290">
        <v>2.5543478260869499</v>
      </c>
      <c r="AB290">
        <v>3</v>
      </c>
      <c r="AC290">
        <v>8.6013888888888896</v>
      </c>
    </row>
    <row r="291" spans="1:29" x14ac:dyDescent="0.35">
      <c r="A291" t="s">
        <v>371</v>
      </c>
      <c r="B291" t="s">
        <v>65</v>
      </c>
      <c r="C291" s="1">
        <v>45678</v>
      </c>
      <c r="D291" t="s">
        <v>44</v>
      </c>
      <c r="E291" s="2">
        <v>0.32291666666666669</v>
      </c>
      <c r="F291" t="s">
        <v>39</v>
      </c>
      <c r="G291">
        <v>57</v>
      </c>
      <c r="H291">
        <v>50</v>
      </c>
      <c r="I291">
        <v>6.8</v>
      </c>
      <c r="J291">
        <v>12</v>
      </c>
      <c r="K291" t="s">
        <v>66</v>
      </c>
      <c r="L291">
        <v>0</v>
      </c>
      <c r="M291" t="s">
        <v>34</v>
      </c>
      <c r="N291">
        <v>38</v>
      </c>
      <c r="O291">
        <v>35</v>
      </c>
      <c r="P291">
        <v>3</v>
      </c>
      <c r="Q291">
        <v>0</v>
      </c>
      <c r="R291">
        <v>7</v>
      </c>
      <c r="S291">
        <v>1</v>
      </c>
      <c r="T291">
        <v>1</v>
      </c>
      <c r="U291">
        <v>0</v>
      </c>
      <c r="V291" t="s">
        <v>47</v>
      </c>
      <c r="W291">
        <v>0</v>
      </c>
      <c r="X291">
        <v>0.92105263157894701</v>
      </c>
      <c r="Y291">
        <v>0</v>
      </c>
      <c r="Z291">
        <v>4.75</v>
      </c>
      <c r="AA291">
        <v>8.3823529411764692</v>
      </c>
      <c r="AB291">
        <v>7</v>
      </c>
      <c r="AC291">
        <v>2.7611111111111102</v>
      </c>
    </row>
    <row r="292" spans="1:29" x14ac:dyDescent="0.35">
      <c r="A292" t="s">
        <v>372</v>
      </c>
      <c r="B292" t="s">
        <v>43</v>
      </c>
      <c r="C292" s="1">
        <v>45677</v>
      </c>
      <c r="D292" t="s">
        <v>87</v>
      </c>
      <c r="E292" s="2">
        <v>0.69791666666666663</v>
      </c>
      <c r="F292" t="s">
        <v>110</v>
      </c>
      <c r="G292">
        <v>58</v>
      </c>
      <c r="H292">
        <v>52</v>
      </c>
      <c r="I292">
        <v>18.399999999999999</v>
      </c>
      <c r="J292">
        <v>32</v>
      </c>
      <c r="K292" t="s">
        <v>46</v>
      </c>
      <c r="L292">
        <v>0</v>
      </c>
      <c r="M292" t="s">
        <v>34</v>
      </c>
      <c r="N292">
        <v>21</v>
      </c>
      <c r="O292">
        <v>18</v>
      </c>
      <c r="P292">
        <v>8.8000000000000007</v>
      </c>
      <c r="Q292">
        <v>1</v>
      </c>
      <c r="R292">
        <v>16</v>
      </c>
      <c r="S292">
        <v>1</v>
      </c>
      <c r="T292">
        <v>0</v>
      </c>
      <c r="U292">
        <v>0</v>
      </c>
      <c r="V292" t="s">
        <v>35</v>
      </c>
      <c r="W292">
        <v>0</v>
      </c>
      <c r="X292">
        <v>0.85714285714285698</v>
      </c>
      <c r="Y292">
        <v>1</v>
      </c>
      <c r="Z292">
        <v>1.8125</v>
      </c>
      <c r="AA292">
        <v>3.1521739130434701</v>
      </c>
      <c r="AB292">
        <v>6</v>
      </c>
      <c r="AC292">
        <v>8.6013888888888896</v>
      </c>
    </row>
    <row r="293" spans="1:29" x14ac:dyDescent="0.35">
      <c r="A293" t="s">
        <v>373</v>
      </c>
      <c r="B293" t="s">
        <v>60</v>
      </c>
      <c r="C293" s="1">
        <v>45667</v>
      </c>
      <c r="D293" t="s">
        <v>38</v>
      </c>
      <c r="E293" s="2">
        <v>0.5625</v>
      </c>
      <c r="F293" t="s">
        <v>125</v>
      </c>
      <c r="G293">
        <v>47</v>
      </c>
      <c r="H293">
        <v>46</v>
      </c>
      <c r="I293">
        <v>12.5</v>
      </c>
      <c r="J293">
        <v>22</v>
      </c>
      <c r="K293" t="s">
        <v>51</v>
      </c>
      <c r="L293">
        <v>0</v>
      </c>
      <c r="M293" t="s">
        <v>34</v>
      </c>
      <c r="N293">
        <v>22</v>
      </c>
      <c r="O293">
        <v>22</v>
      </c>
      <c r="P293">
        <v>4.5</v>
      </c>
      <c r="Q293">
        <v>0</v>
      </c>
      <c r="R293">
        <v>13</v>
      </c>
      <c r="S293">
        <v>1</v>
      </c>
      <c r="T293">
        <v>4</v>
      </c>
      <c r="U293">
        <v>0</v>
      </c>
      <c r="V293" t="s">
        <v>35</v>
      </c>
      <c r="W293">
        <v>0</v>
      </c>
      <c r="X293">
        <v>1</v>
      </c>
      <c r="Y293">
        <v>0</v>
      </c>
      <c r="Z293">
        <v>2.13636363636363</v>
      </c>
      <c r="AA293">
        <v>3.76</v>
      </c>
      <c r="AB293">
        <v>1</v>
      </c>
      <c r="AC293">
        <v>3.4760869565217298</v>
      </c>
    </row>
    <row r="294" spans="1:29" x14ac:dyDescent="0.35">
      <c r="A294" t="s">
        <v>374</v>
      </c>
      <c r="B294" t="s">
        <v>106</v>
      </c>
      <c r="C294" s="1">
        <v>45674</v>
      </c>
      <c r="D294" t="s">
        <v>38</v>
      </c>
      <c r="E294" s="2">
        <v>0.73958333333333337</v>
      </c>
      <c r="F294" t="s">
        <v>32</v>
      </c>
      <c r="G294">
        <v>112</v>
      </c>
      <c r="H294">
        <v>103</v>
      </c>
      <c r="I294">
        <v>15</v>
      </c>
      <c r="J294">
        <v>28</v>
      </c>
      <c r="K294" t="s">
        <v>40</v>
      </c>
      <c r="L294">
        <v>0</v>
      </c>
      <c r="M294" t="s">
        <v>34</v>
      </c>
      <c r="N294">
        <v>26</v>
      </c>
      <c r="O294">
        <v>23</v>
      </c>
      <c r="P294">
        <v>19.899999999999999</v>
      </c>
      <c r="Q294">
        <v>0</v>
      </c>
      <c r="R294">
        <v>17</v>
      </c>
      <c r="S294">
        <v>1</v>
      </c>
      <c r="T294">
        <v>4</v>
      </c>
      <c r="U294">
        <v>0</v>
      </c>
      <c r="V294" t="s">
        <v>41</v>
      </c>
      <c r="W294">
        <v>0</v>
      </c>
      <c r="X294">
        <v>0.88461538461538403</v>
      </c>
      <c r="Y294">
        <v>1</v>
      </c>
      <c r="Z294">
        <v>4</v>
      </c>
      <c r="AA294">
        <v>7.4666666666666597</v>
      </c>
      <c r="AB294">
        <v>9</v>
      </c>
      <c r="AC294">
        <v>9.4749999999999996</v>
      </c>
    </row>
    <row r="295" spans="1:29" x14ac:dyDescent="0.35">
      <c r="A295" t="s">
        <v>375</v>
      </c>
      <c r="B295" t="s">
        <v>43</v>
      </c>
      <c r="C295" s="1">
        <v>45681</v>
      </c>
      <c r="D295" t="s">
        <v>38</v>
      </c>
      <c r="E295" s="2">
        <v>0.66666666666666663</v>
      </c>
      <c r="F295" t="s">
        <v>89</v>
      </c>
      <c r="G295">
        <v>60</v>
      </c>
      <c r="H295">
        <v>59</v>
      </c>
      <c r="I295">
        <v>18.399999999999999</v>
      </c>
      <c r="J295">
        <v>32</v>
      </c>
      <c r="K295" t="s">
        <v>46</v>
      </c>
      <c r="L295">
        <v>0</v>
      </c>
      <c r="M295" t="s">
        <v>34</v>
      </c>
      <c r="N295">
        <v>18</v>
      </c>
      <c r="O295">
        <v>15</v>
      </c>
      <c r="P295">
        <v>6.8</v>
      </c>
      <c r="Q295">
        <v>0</v>
      </c>
      <c r="R295">
        <v>16</v>
      </c>
      <c r="S295">
        <v>1</v>
      </c>
      <c r="T295">
        <v>4</v>
      </c>
      <c r="U295">
        <v>0</v>
      </c>
      <c r="V295" t="s">
        <v>35</v>
      </c>
      <c r="W295">
        <v>0</v>
      </c>
      <c r="X295">
        <v>0.83333333333333304</v>
      </c>
      <c r="Y295">
        <v>1</v>
      </c>
      <c r="Z295">
        <v>1.875</v>
      </c>
      <c r="AA295">
        <v>3.2608695652173898</v>
      </c>
      <c r="AB295">
        <v>1</v>
      </c>
      <c r="AC295">
        <v>8.6013888888888896</v>
      </c>
    </row>
    <row r="296" spans="1:29" x14ac:dyDescent="0.35">
      <c r="A296" t="s">
        <v>376</v>
      </c>
      <c r="B296" t="s">
        <v>30</v>
      </c>
      <c r="C296" s="1">
        <v>45691</v>
      </c>
      <c r="D296" t="s">
        <v>87</v>
      </c>
      <c r="E296" s="2">
        <v>0.48958333333333331</v>
      </c>
      <c r="F296" t="s">
        <v>68</v>
      </c>
      <c r="G296">
        <v>40</v>
      </c>
      <c r="H296">
        <v>37</v>
      </c>
      <c r="I296">
        <v>10.1</v>
      </c>
      <c r="J296">
        <v>19</v>
      </c>
      <c r="K296" t="s">
        <v>33</v>
      </c>
      <c r="L296">
        <v>0</v>
      </c>
      <c r="M296" t="s">
        <v>34</v>
      </c>
      <c r="N296">
        <v>22</v>
      </c>
      <c r="O296">
        <v>20</v>
      </c>
      <c r="P296">
        <v>2.4</v>
      </c>
      <c r="Q296">
        <v>0</v>
      </c>
      <c r="R296">
        <v>11</v>
      </c>
      <c r="S296">
        <v>2</v>
      </c>
      <c r="T296">
        <v>0</v>
      </c>
      <c r="U296">
        <v>0</v>
      </c>
      <c r="V296" t="s">
        <v>35</v>
      </c>
      <c r="W296">
        <v>0</v>
      </c>
      <c r="X296">
        <v>0.90909090909090895</v>
      </c>
      <c r="Y296">
        <v>0</v>
      </c>
      <c r="Z296">
        <v>2.1052631578947301</v>
      </c>
      <c r="AA296">
        <v>3.9603960396039599</v>
      </c>
      <c r="AB296">
        <v>3</v>
      </c>
      <c r="AC296">
        <v>3.6613636363636299</v>
      </c>
    </row>
    <row r="297" spans="1:29" x14ac:dyDescent="0.35">
      <c r="A297" t="s">
        <v>377</v>
      </c>
      <c r="B297" t="s">
        <v>43</v>
      </c>
      <c r="C297" s="1">
        <v>45691</v>
      </c>
      <c r="D297" t="s">
        <v>87</v>
      </c>
      <c r="E297" s="2">
        <v>0.625</v>
      </c>
      <c r="F297" t="s">
        <v>68</v>
      </c>
      <c r="G297">
        <v>56</v>
      </c>
      <c r="H297">
        <v>52</v>
      </c>
      <c r="I297">
        <v>18.399999999999999</v>
      </c>
      <c r="J297">
        <v>32</v>
      </c>
      <c r="K297" t="s">
        <v>46</v>
      </c>
      <c r="L297">
        <v>0</v>
      </c>
      <c r="M297" t="s">
        <v>34</v>
      </c>
      <c r="N297">
        <v>38</v>
      </c>
      <c r="O297">
        <v>35</v>
      </c>
      <c r="P297">
        <v>3.8</v>
      </c>
      <c r="Q297">
        <v>0</v>
      </c>
      <c r="R297">
        <v>15</v>
      </c>
      <c r="S297">
        <v>2</v>
      </c>
      <c r="T297">
        <v>0</v>
      </c>
      <c r="U297">
        <v>0</v>
      </c>
      <c r="V297" t="s">
        <v>35</v>
      </c>
      <c r="W297">
        <v>0</v>
      </c>
      <c r="X297">
        <v>0.92105263157894701</v>
      </c>
      <c r="Y297">
        <v>0</v>
      </c>
      <c r="Z297">
        <v>1.75</v>
      </c>
      <c r="AA297">
        <v>3.0434782608695601</v>
      </c>
      <c r="AB297">
        <v>4</v>
      </c>
      <c r="AC297">
        <v>8.6013888888888896</v>
      </c>
    </row>
    <row r="298" spans="1:29" x14ac:dyDescent="0.35">
      <c r="A298" t="s">
        <v>378</v>
      </c>
      <c r="B298" t="s">
        <v>30</v>
      </c>
      <c r="C298" s="1">
        <v>45687</v>
      </c>
      <c r="D298" t="s">
        <v>54</v>
      </c>
      <c r="E298" s="2">
        <v>0.3125</v>
      </c>
      <c r="F298" t="s">
        <v>89</v>
      </c>
      <c r="G298">
        <v>70</v>
      </c>
      <c r="H298">
        <v>64</v>
      </c>
      <c r="I298">
        <v>10.1</v>
      </c>
      <c r="J298">
        <v>19</v>
      </c>
      <c r="K298" t="s">
        <v>33</v>
      </c>
      <c r="L298">
        <v>0</v>
      </c>
      <c r="M298" t="s">
        <v>34</v>
      </c>
      <c r="N298">
        <v>25</v>
      </c>
      <c r="O298">
        <v>23</v>
      </c>
      <c r="P298">
        <v>6.4</v>
      </c>
      <c r="Q298">
        <v>0</v>
      </c>
      <c r="R298">
        <v>7</v>
      </c>
      <c r="S298">
        <v>1</v>
      </c>
      <c r="T298">
        <v>3</v>
      </c>
      <c r="U298">
        <v>0</v>
      </c>
      <c r="V298" t="s">
        <v>47</v>
      </c>
      <c r="W298">
        <v>0</v>
      </c>
      <c r="X298">
        <v>0.92</v>
      </c>
      <c r="Y298">
        <v>1</v>
      </c>
      <c r="Z298">
        <v>3.6842105263157801</v>
      </c>
      <c r="AA298">
        <v>6.9306930693069297</v>
      </c>
      <c r="AB298">
        <v>6</v>
      </c>
      <c r="AC298">
        <v>3.6613636363636299</v>
      </c>
    </row>
    <row r="299" spans="1:29" x14ac:dyDescent="0.35">
      <c r="A299" t="s">
        <v>379</v>
      </c>
      <c r="B299" t="s">
        <v>43</v>
      </c>
      <c r="C299" s="1">
        <v>45706</v>
      </c>
      <c r="D299" t="s">
        <v>44</v>
      </c>
      <c r="E299" s="2">
        <v>0.92708333333333337</v>
      </c>
      <c r="F299" t="s">
        <v>76</v>
      </c>
      <c r="G299">
        <v>59</v>
      </c>
      <c r="H299">
        <v>52</v>
      </c>
      <c r="I299">
        <v>18.399999999999999</v>
      </c>
      <c r="J299">
        <v>32</v>
      </c>
      <c r="K299" t="s">
        <v>46</v>
      </c>
      <c r="L299">
        <v>0</v>
      </c>
      <c r="M299" t="s">
        <v>34</v>
      </c>
      <c r="N299">
        <v>30</v>
      </c>
      <c r="O299">
        <v>27</v>
      </c>
      <c r="P299">
        <v>11.2</v>
      </c>
      <c r="Q299">
        <v>0</v>
      </c>
      <c r="R299">
        <v>22</v>
      </c>
      <c r="S299">
        <v>2</v>
      </c>
      <c r="T299">
        <v>1</v>
      </c>
      <c r="U299">
        <v>0</v>
      </c>
      <c r="V299" t="s">
        <v>35</v>
      </c>
      <c r="W299">
        <v>0</v>
      </c>
      <c r="X299">
        <v>0.9</v>
      </c>
      <c r="Y299">
        <v>1</v>
      </c>
      <c r="Z299">
        <v>1.84375</v>
      </c>
      <c r="AA299">
        <v>3.2065217391304301</v>
      </c>
      <c r="AB299">
        <v>7</v>
      </c>
      <c r="AC299">
        <v>8.6013888888888896</v>
      </c>
    </row>
    <row r="300" spans="1:29" x14ac:dyDescent="0.35">
      <c r="A300" t="s">
        <v>380</v>
      </c>
      <c r="B300" t="s">
        <v>60</v>
      </c>
      <c r="C300" s="1">
        <v>45677</v>
      </c>
      <c r="D300" t="s">
        <v>87</v>
      </c>
      <c r="E300" s="2">
        <v>0.625</v>
      </c>
      <c r="F300" t="s">
        <v>110</v>
      </c>
      <c r="G300">
        <v>53</v>
      </c>
      <c r="H300">
        <v>51</v>
      </c>
      <c r="I300">
        <v>12.5</v>
      </c>
      <c r="J300">
        <v>22</v>
      </c>
      <c r="K300" t="s">
        <v>51</v>
      </c>
      <c r="L300">
        <v>0</v>
      </c>
      <c r="M300" t="s">
        <v>34</v>
      </c>
      <c r="N300">
        <v>35</v>
      </c>
      <c r="O300">
        <v>33</v>
      </c>
      <c r="P300">
        <v>2.1</v>
      </c>
      <c r="Q300">
        <v>0</v>
      </c>
      <c r="R300">
        <v>15</v>
      </c>
      <c r="S300">
        <v>1</v>
      </c>
      <c r="T300">
        <v>0</v>
      </c>
      <c r="U300">
        <v>0</v>
      </c>
      <c r="V300" t="s">
        <v>35</v>
      </c>
      <c r="W300">
        <v>0</v>
      </c>
      <c r="X300">
        <v>0.94285714285714195</v>
      </c>
      <c r="Y300">
        <v>0</v>
      </c>
      <c r="Z300">
        <v>2.4090909090908998</v>
      </c>
      <c r="AA300">
        <v>4.24</v>
      </c>
      <c r="AB300">
        <v>2</v>
      </c>
      <c r="AC300">
        <v>3.4760869565217298</v>
      </c>
    </row>
    <row r="301" spans="1:29" x14ac:dyDescent="0.35">
      <c r="A301" t="s">
        <v>381</v>
      </c>
      <c r="B301" t="s">
        <v>49</v>
      </c>
      <c r="C301" s="1">
        <v>45670</v>
      </c>
      <c r="D301" t="s">
        <v>87</v>
      </c>
      <c r="E301" s="2">
        <v>0.34375</v>
      </c>
      <c r="F301" t="s">
        <v>68</v>
      </c>
      <c r="G301">
        <v>58</v>
      </c>
      <c r="H301">
        <v>57</v>
      </c>
      <c r="I301">
        <v>8.1999999999999993</v>
      </c>
      <c r="J301">
        <v>15</v>
      </c>
      <c r="K301" t="s">
        <v>51</v>
      </c>
      <c r="L301">
        <v>0</v>
      </c>
      <c r="M301" t="s">
        <v>34</v>
      </c>
      <c r="N301">
        <v>29</v>
      </c>
      <c r="O301">
        <v>27</v>
      </c>
      <c r="P301">
        <v>1.2</v>
      </c>
      <c r="Q301">
        <v>0</v>
      </c>
      <c r="R301">
        <v>8</v>
      </c>
      <c r="S301">
        <v>1</v>
      </c>
      <c r="T301">
        <v>0</v>
      </c>
      <c r="U301">
        <v>0</v>
      </c>
      <c r="V301" t="s">
        <v>47</v>
      </c>
      <c r="W301">
        <v>0</v>
      </c>
      <c r="X301">
        <v>0.93103448275862</v>
      </c>
      <c r="Y301">
        <v>0</v>
      </c>
      <c r="Z301">
        <v>3.86666666666666</v>
      </c>
      <c r="AA301">
        <v>7.07317073170731</v>
      </c>
      <c r="AB301">
        <v>1</v>
      </c>
      <c r="AC301">
        <v>3.6937500000000001</v>
      </c>
    </row>
    <row r="302" spans="1:29" x14ac:dyDescent="0.35">
      <c r="A302" t="s">
        <v>382</v>
      </c>
      <c r="B302" t="s">
        <v>57</v>
      </c>
      <c r="C302" s="1">
        <v>45659</v>
      </c>
      <c r="D302" t="s">
        <v>54</v>
      </c>
      <c r="E302" s="2">
        <v>0.35416666666666669</v>
      </c>
      <c r="F302" t="s">
        <v>61</v>
      </c>
      <c r="G302">
        <v>117</v>
      </c>
      <c r="H302">
        <v>103</v>
      </c>
      <c r="I302">
        <v>14.2</v>
      </c>
      <c r="J302">
        <v>25</v>
      </c>
      <c r="K302" t="s">
        <v>46</v>
      </c>
      <c r="L302">
        <v>0</v>
      </c>
      <c r="M302" t="s">
        <v>34</v>
      </c>
      <c r="N302">
        <v>29</v>
      </c>
      <c r="O302">
        <v>24</v>
      </c>
      <c r="P302">
        <v>14.8</v>
      </c>
      <c r="Q302">
        <v>0</v>
      </c>
      <c r="R302">
        <v>8</v>
      </c>
      <c r="S302">
        <v>1</v>
      </c>
      <c r="T302">
        <v>3</v>
      </c>
      <c r="U302">
        <v>0</v>
      </c>
      <c r="V302" t="s">
        <v>47</v>
      </c>
      <c r="W302">
        <v>0</v>
      </c>
      <c r="X302">
        <v>0.82758620689655105</v>
      </c>
      <c r="Y302">
        <v>1</v>
      </c>
      <c r="Z302">
        <v>4.68</v>
      </c>
      <c r="AA302">
        <v>8.23943661971831</v>
      </c>
      <c r="AB302">
        <v>14</v>
      </c>
      <c r="AC302">
        <v>8.3255319148936096</v>
      </c>
    </row>
    <row r="303" spans="1:29" x14ac:dyDescent="0.35">
      <c r="A303" t="s">
        <v>383</v>
      </c>
      <c r="B303" t="s">
        <v>30</v>
      </c>
      <c r="C303" s="1">
        <v>45683</v>
      </c>
      <c r="D303" t="s">
        <v>31</v>
      </c>
      <c r="E303" s="2">
        <v>0.5625</v>
      </c>
      <c r="F303" t="s">
        <v>104</v>
      </c>
      <c r="G303">
        <v>30</v>
      </c>
      <c r="H303">
        <v>26</v>
      </c>
      <c r="I303">
        <v>10.1</v>
      </c>
      <c r="J303">
        <v>19</v>
      </c>
      <c r="K303" t="s">
        <v>33</v>
      </c>
      <c r="L303">
        <v>1</v>
      </c>
      <c r="M303" t="s">
        <v>34</v>
      </c>
      <c r="N303">
        <v>24</v>
      </c>
      <c r="O303">
        <v>24</v>
      </c>
      <c r="P303">
        <v>3.3</v>
      </c>
      <c r="Q303">
        <v>1</v>
      </c>
      <c r="R303">
        <v>13</v>
      </c>
      <c r="S303">
        <v>1</v>
      </c>
      <c r="T303">
        <v>6</v>
      </c>
      <c r="U303">
        <v>1</v>
      </c>
      <c r="V303" t="s">
        <v>35</v>
      </c>
      <c r="W303">
        <v>0</v>
      </c>
      <c r="X303">
        <v>1</v>
      </c>
      <c r="Y303">
        <v>0</v>
      </c>
      <c r="Z303">
        <v>1.57894736842105</v>
      </c>
      <c r="AA303">
        <v>2.9702970297029698</v>
      </c>
      <c r="AB303">
        <v>4</v>
      </c>
      <c r="AC303">
        <v>3.6613636363636299</v>
      </c>
    </row>
    <row r="304" spans="1:29" x14ac:dyDescent="0.35">
      <c r="A304" t="s">
        <v>384</v>
      </c>
      <c r="B304" t="s">
        <v>72</v>
      </c>
      <c r="C304" s="1">
        <v>45674</v>
      </c>
      <c r="D304" t="s">
        <v>38</v>
      </c>
      <c r="E304" s="2">
        <v>0.375</v>
      </c>
      <c r="F304" t="s">
        <v>82</v>
      </c>
      <c r="G304">
        <v>77</v>
      </c>
      <c r="H304">
        <v>75</v>
      </c>
      <c r="I304">
        <v>11.6</v>
      </c>
      <c r="J304">
        <v>21</v>
      </c>
      <c r="K304" t="s">
        <v>33</v>
      </c>
      <c r="L304">
        <v>0</v>
      </c>
      <c r="M304" t="s">
        <v>34</v>
      </c>
      <c r="N304">
        <v>37</v>
      </c>
      <c r="O304">
        <v>37</v>
      </c>
      <c r="P304">
        <v>3.1</v>
      </c>
      <c r="Q304">
        <v>0</v>
      </c>
      <c r="R304">
        <v>9</v>
      </c>
      <c r="S304">
        <v>1</v>
      </c>
      <c r="T304">
        <v>4</v>
      </c>
      <c r="U304">
        <v>0</v>
      </c>
      <c r="V304" t="s">
        <v>47</v>
      </c>
      <c r="W304">
        <v>0</v>
      </c>
      <c r="X304">
        <v>1</v>
      </c>
      <c r="Y304">
        <v>0</v>
      </c>
      <c r="Z304">
        <v>3.6666666666666599</v>
      </c>
      <c r="AA304">
        <v>6.63793103448275</v>
      </c>
      <c r="AB304">
        <v>2</v>
      </c>
      <c r="AC304">
        <v>2.80217391304347</v>
      </c>
    </row>
    <row r="305" spans="1:29" x14ac:dyDescent="0.35">
      <c r="A305" t="s">
        <v>385</v>
      </c>
      <c r="B305" t="s">
        <v>43</v>
      </c>
      <c r="C305" s="1">
        <v>45714</v>
      </c>
      <c r="D305" t="s">
        <v>78</v>
      </c>
      <c r="E305" s="2">
        <v>0.71875</v>
      </c>
      <c r="F305" t="s">
        <v>100</v>
      </c>
      <c r="G305">
        <v>68</v>
      </c>
      <c r="H305">
        <v>66</v>
      </c>
      <c r="I305">
        <v>18.399999999999999</v>
      </c>
      <c r="J305">
        <v>32</v>
      </c>
      <c r="K305" t="s">
        <v>46</v>
      </c>
      <c r="L305">
        <v>0</v>
      </c>
      <c r="M305" t="s">
        <v>34</v>
      </c>
      <c r="N305">
        <v>38</v>
      </c>
      <c r="O305">
        <v>32</v>
      </c>
      <c r="P305">
        <v>14.9</v>
      </c>
      <c r="Q305">
        <v>0</v>
      </c>
      <c r="R305">
        <v>17</v>
      </c>
      <c r="S305">
        <v>2</v>
      </c>
      <c r="T305">
        <v>2</v>
      </c>
      <c r="U305">
        <v>0</v>
      </c>
      <c r="V305" t="s">
        <v>41</v>
      </c>
      <c r="W305">
        <v>0</v>
      </c>
      <c r="X305">
        <v>0.84210526315789402</v>
      </c>
      <c r="Y305">
        <v>1</v>
      </c>
      <c r="Z305">
        <v>2.125</v>
      </c>
      <c r="AA305">
        <v>3.6956521739130399</v>
      </c>
      <c r="AB305">
        <v>2</v>
      </c>
      <c r="AC305">
        <v>8.6013888888888896</v>
      </c>
    </row>
    <row r="306" spans="1:29" x14ac:dyDescent="0.35">
      <c r="A306" t="s">
        <v>386</v>
      </c>
      <c r="B306" t="s">
        <v>106</v>
      </c>
      <c r="C306" s="1">
        <v>45681</v>
      </c>
      <c r="D306" t="s">
        <v>38</v>
      </c>
      <c r="E306" s="2">
        <v>0.70833333333333337</v>
      </c>
      <c r="F306" t="s">
        <v>82</v>
      </c>
      <c r="G306">
        <v>80</v>
      </c>
      <c r="H306">
        <v>75</v>
      </c>
      <c r="I306">
        <v>15</v>
      </c>
      <c r="J306">
        <v>28</v>
      </c>
      <c r="K306" t="s">
        <v>40</v>
      </c>
      <c r="L306">
        <v>0</v>
      </c>
      <c r="M306" t="s">
        <v>34</v>
      </c>
      <c r="N306">
        <v>37</v>
      </c>
      <c r="O306">
        <v>33</v>
      </c>
      <c r="P306">
        <v>5.0999999999999996</v>
      </c>
      <c r="Q306">
        <v>0</v>
      </c>
      <c r="R306">
        <v>17</v>
      </c>
      <c r="S306">
        <v>1</v>
      </c>
      <c r="T306">
        <v>4</v>
      </c>
      <c r="U306">
        <v>0</v>
      </c>
      <c r="V306" t="s">
        <v>41</v>
      </c>
      <c r="W306">
        <v>0</v>
      </c>
      <c r="X306">
        <v>0.891891891891891</v>
      </c>
      <c r="Y306">
        <v>1</v>
      </c>
      <c r="Z306">
        <v>2.8571428571428501</v>
      </c>
      <c r="AA306">
        <v>5.3333333333333304</v>
      </c>
      <c r="AB306">
        <v>5</v>
      </c>
      <c r="AC306">
        <v>9.4749999999999996</v>
      </c>
    </row>
    <row r="307" spans="1:29" x14ac:dyDescent="0.35">
      <c r="A307" t="s">
        <v>387</v>
      </c>
      <c r="B307" t="s">
        <v>72</v>
      </c>
      <c r="C307" s="1">
        <v>45694</v>
      </c>
      <c r="D307" t="s">
        <v>54</v>
      </c>
      <c r="E307" s="2">
        <v>0.60416666666666663</v>
      </c>
      <c r="F307" t="s">
        <v>55</v>
      </c>
      <c r="G307">
        <v>35</v>
      </c>
      <c r="H307">
        <v>33</v>
      </c>
      <c r="I307">
        <v>11.6</v>
      </c>
      <c r="J307">
        <v>21</v>
      </c>
      <c r="K307" t="s">
        <v>33</v>
      </c>
      <c r="L307">
        <v>0</v>
      </c>
      <c r="M307" t="s">
        <v>34</v>
      </c>
      <c r="N307">
        <v>32</v>
      </c>
      <c r="O307">
        <v>31</v>
      </c>
      <c r="P307">
        <v>1.7</v>
      </c>
      <c r="Q307">
        <v>0</v>
      </c>
      <c r="R307">
        <v>14</v>
      </c>
      <c r="S307">
        <v>2</v>
      </c>
      <c r="T307">
        <v>3</v>
      </c>
      <c r="U307">
        <v>0</v>
      </c>
      <c r="V307" t="s">
        <v>35</v>
      </c>
      <c r="W307">
        <v>0</v>
      </c>
      <c r="X307">
        <v>0.96875</v>
      </c>
      <c r="Y307">
        <v>0</v>
      </c>
      <c r="Z307">
        <v>1.6666666666666601</v>
      </c>
      <c r="AA307">
        <v>3.0172413793103399</v>
      </c>
      <c r="AB307">
        <v>2</v>
      </c>
      <c r="AC307">
        <v>2.80217391304347</v>
      </c>
    </row>
    <row r="308" spans="1:29" x14ac:dyDescent="0.35">
      <c r="A308" t="s">
        <v>388</v>
      </c>
      <c r="B308" t="s">
        <v>37</v>
      </c>
      <c r="C308" s="1">
        <v>45660</v>
      </c>
      <c r="D308" t="s">
        <v>38</v>
      </c>
      <c r="E308" s="2">
        <v>0.78125</v>
      </c>
      <c r="F308" t="s">
        <v>58</v>
      </c>
      <c r="G308">
        <v>78</v>
      </c>
      <c r="H308">
        <v>69</v>
      </c>
      <c r="I308">
        <v>9.5</v>
      </c>
      <c r="J308">
        <v>17</v>
      </c>
      <c r="K308" t="s">
        <v>40</v>
      </c>
      <c r="L308">
        <v>0</v>
      </c>
      <c r="M308" t="s">
        <v>34</v>
      </c>
      <c r="N308">
        <v>34</v>
      </c>
      <c r="O308">
        <v>34</v>
      </c>
      <c r="P308">
        <v>5.2</v>
      </c>
      <c r="Q308">
        <v>0</v>
      </c>
      <c r="R308">
        <v>18</v>
      </c>
      <c r="S308">
        <v>1</v>
      </c>
      <c r="T308">
        <v>4</v>
      </c>
      <c r="U308">
        <v>0</v>
      </c>
      <c r="V308" t="s">
        <v>41</v>
      </c>
      <c r="W308">
        <v>0</v>
      </c>
      <c r="X308">
        <v>1</v>
      </c>
      <c r="Y308">
        <v>1</v>
      </c>
      <c r="Z308">
        <v>4.5882352941176396</v>
      </c>
      <c r="AA308">
        <v>8.2105263157894708</v>
      </c>
      <c r="AB308">
        <v>9</v>
      </c>
      <c r="AC308">
        <v>3.8470588235294101</v>
      </c>
    </row>
    <row r="309" spans="1:29" x14ac:dyDescent="0.35">
      <c r="A309" t="s">
        <v>389</v>
      </c>
      <c r="B309" t="s">
        <v>60</v>
      </c>
      <c r="C309" s="1">
        <v>45658</v>
      </c>
      <c r="D309" t="s">
        <v>78</v>
      </c>
      <c r="E309" s="2">
        <v>0.59375</v>
      </c>
      <c r="F309" t="s">
        <v>61</v>
      </c>
      <c r="G309">
        <v>50</v>
      </c>
      <c r="H309">
        <v>44</v>
      </c>
      <c r="I309">
        <v>12.5</v>
      </c>
      <c r="J309">
        <v>22</v>
      </c>
      <c r="K309" t="s">
        <v>51</v>
      </c>
      <c r="L309">
        <v>1</v>
      </c>
      <c r="M309" t="s">
        <v>34</v>
      </c>
      <c r="N309">
        <v>39</v>
      </c>
      <c r="O309">
        <v>38</v>
      </c>
      <c r="P309">
        <v>1.6</v>
      </c>
      <c r="Q309">
        <v>0</v>
      </c>
      <c r="R309">
        <v>14</v>
      </c>
      <c r="S309">
        <v>1</v>
      </c>
      <c r="T309">
        <v>2</v>
      </c>
      <c r="U309">
        <v>0</v>
      </c>
      <c r="V309" t="s">
        <v>35</v>
      </c>
      <c r="W309">
        <v>0</v>
      </c>
      <c r="X309">
        <v>0.97435897435897401</v>
      </c>
      <c r="Y309">
        <v>0</v>
      </c>
      <c r="Z309">
        <v>2.2727272727272698</v>
      </c>
      <c r="AA309">
        <v>4</v>
      </c>
      <c r="AB309">
        <v>6</v>
      </c>
      <c r="AC309">
        <v>3.4760869565217298</v>
      </c>
    </row>
    <row r="310" spans="1:29" x14ac:dyDescent="0.35">
      <c r="A310" t="s">
        <v>390</v>
      </c>
      <c r="B310" t="s">
        <v>106</v>
      </c>
      <c r="C310" s="1">
        <v>45695</v>
      </c>
      <c r="D310" t="s">
        <v>38</v>
      </c>
      <c r="E310" s="2">
        <v>0.34375</v>
      </c>
      <c r="F310" t="s">
        <v>89</v>
      </c>
      <c r="G310">
        <v>88</v>
      </c>
      <c r="H310">
        <v>80</v>
      </c>
      <c r="I310">
        <v>15</v>
      </c>
      <c r="J310">
        <v>28</v>
      </c>
      <c r="K310" t="s">
        <v>40</v>
      </c>
      <c r="L310">
        <v>0</v>
      </c>
      <c r="M310" t="s">
        <v>34</v>
      </c>
      <c r="N310">
        <v>23</v>
      </c>
      <c r="O310">
        <v>19</v>
      </c>
      <c r="P310">
        <v>6.8</v>
      </c>
      <c r="Q310">
        <v>0</v>
      </c>
      <c r="R310">
        <v>8</v>
      </c>
      <c r="S310">
        <v>2</v>
      </c>
      <c r="T310">
        <v>4</v>
      </c>
      <c r="U310">
        <v>0</v>
      </c>
      <c r="V310" t="s">
        <v>47</v>
      </c>
      <c r="W310">
        <v>0</v>
      </c>
      <c r="X310">
        <v>0.82608695652173902</v>
      </c>
      <c r="Y310">
        <v>1</v>
      </c>
      <c r="Z310">
        <v>3.1428571428571401</v>
      </c>
      <c r="AA310">
        <v>5.86666666666666</v>
      </c>
      <c r="AB310">
        <v>8</v>
      </c>
      <c r="AC310">
        <v>9.4749999999999996</v>
      </c>
    </row>
    <row r="311" spans="1:29" x14ac:dyDescent="0.35">
      <c r="A311" t="s">
        <v>391</v>
      </c>
      <c r="B311" t="s">
        <v>102</v>
      </c>
      <c r="C311" s="1">
        <v>45708</v>
      </c>
      <c r="D311" t="s">
        <v>54</v>
      </c>
      <c r="E311" s="2">
        <v>0.65625</v>
      </c>
      <c r="F311" t="s">
        <v>82</v>
      </c>
      <c r="G311">
        <v>38</v>
      </c>
      <c r="H311">
        <v>32</v>
      </c>
      <c r="I311">
        <v>7.3</v>
      </c>
      <c r="J311">
        <v>13</v>
      </c>
      <c r="K311" t="s">
        <v>66</v>
      </c>
      <c r="L311">
        <v>0</v>
      </c>
      <c r="M311" t="s">
        <v>34</v>
      </c>
      <c r="N311">
        <v>19</v>
      </c>
      <c r="O311">
        <v>19</v>
      </c>
      <c r="P311">
        <v>2.1</v>
      </c>
      <c r="Q311">
        <v>0</v>
      </c>
      <c r="R311">
        <v>15</v>
      </c>
      <c r="S311">
        <v>2</v>
      </c>
      <c r="T311">
        <v>3</v>
      </c>
      <c r="U311">
        <v>0</v>
      </c>
      <c r="V311" t="s">
        <v>35</v>
      </c>
      <c r="W311">
        <v>0</v>
      </c>
      <c r="X311">
        <v>1</v>
      </c>
      <c r="Y311">
        <v>0</v>
      </c>
      <c r="Z311">
        <v>2.9230769230769198</v>
      </c>
      <c r="AA311">
        <v>5.2054794520547896</v>
      </c>
      <c r="AB311">
        <v>6</v>
      </c>
      <c r="AC311">
        <v>4.0518518518518496</v>
      </c>
    </row>
    <row r="312" spans="1:29" x14ac:dyDescent="0.35">
      <c r="A312" t="s">
        <v>392</v>
      </c>
      <c r="B312" t="s">
        <v>30</v>
      </c>
      <c r="C312" s="1">
        <v>45668</v>
      </c>
      <c r="D312" t="s">
        <v>50</v>
      </c>
      <c r="E312" s="2">
        <v>0.53125</v>
      </c>
      <c r="F312" t="s">
        <v>110</v>
      </c>
      <c r="G312">
        <v>47</v>
      </c>
      <c r="H312">
        <v>44</v>
      </c>
      <c r="I312">
        <v>10.1</v>
      </c>
      <c r="J312">
        <v>19</v>
      </c>
      <c r="K312" t="s">
        <v>33</v>
      </c>
      <c r="L312">
        <v>0</v>
      </c>
      <c r="M312" t="s">
        <v>52</v>
      </c>
      <c r="N312">
        <v>27</v>
      </c>
      <c r="O312">
        <v>26</v>
      </c>
      <c r="P312">
        <v>3.4</v>
      </c>
      <c r="Q312">
        <v>0</v>
      </c>
      <c r="R312">
        <v>12</v>
      </c>
      <c r="S312">
        <v>1</v>
      </c>
      <c r="T312">
        <v>5</v>
      </c>
      <c r="U312">
        <v>1</v>
      </c>
      <c r="V312" t="s">
        <v>35</v>
      </c>
      <c r="W312">
        <v>1</v>
      </c>
      <c r="X312">
        <v>0.96296296296296202</v>
      </c>
      <c r="Y312">
        <v>0</v>
      </c>
      <c r="Z312">
        <v>2.4736842105263102</v>
      </c>
      <c r="AA312">
        <v>4.6534653465346496</v>
      </c>
      <c r="AB312">
        <v>3</v>
      </c>
      <c r="AC312">
        <v>3.6613636363636299</v>
      </c>
    </row>
    <row r="313" spans="1:29" x14ac:dyDescent="0.35">
      <c r="A313" t="s">
        <v>393</v>
      </c>
      <c r="B313" t="s">
        <v>72</v>
      </c>
      <c r="C313" s="1">
        <v>45706</v>
      </c>
      <c r="D313" t="s">
        <v>44</v>
      </c>
      <c r="E313" s="2">
        <v>0.59375</v>
      </c>
      <c r="F313" t="s">
        <v>150</v>
      </c>
      <c r="G313">
        <v>46</v>
      </c>
      <c r="H313">
        <v>43</v>
      </c>
      <c r="I313">
        <v>11.6</v>
      </c>
      <c r="J313">
        <v>21</v>
      </c>
      <c r="K313" t="s">
        <v>33</v>
      </c>
      <c r="L313">
        <v>0</v>
      </c>
      <c r="M313" t="s">
        <v>34</v>
      </c>
      <c r="N313">
        <v>30</v>
      </c>
      <c r="O313">
        <v>28</v>
      </c>
      <c r="P313">
        <v>5.4</v>
      </c>
      <c r="Q313">
        <v>0</v>
      </c>
      <c r="R313">
        <v>14</v>
      </c>
      <c r="S313">
        <v>2</v>
      </c>
      <c r="T313">
        <v>1</v>
      </c>
      <c r="U313">
        <v>0</v>
      </c>
      <c r="V313" t="s">
        <v>35</v>
      </c>
      <c r="W313">
        <v>0</v>
      </c>
      <c r="X313">
        <v>0.93333333333333302</v>
      </c>
      <c r="Y313">
        <v>1</v>
      </c>
      <c r="Z313">
        <v>2.1904761904761898</v>
      </c>
      <c r="AA313">
        <v>3.9655172413793101</v>
      </c>
      <c r="AB313">
        <v>3</v>
      </c>
      <c r="AC313">
        <v>2.80217391304347</v>
      </c>
    </row>
    <row r="314" spans="1:29" x14ac:dyDescent="0.35">
      <c r="A314" t="s">
        <v>394</v>
      </c>
      <c r="B314" t="s">
        <v>60</v>
      </c>
      <c r="C314" s="1">
        <v>45702</v>
      </c>
      <c r="D314" t="s">
        <v>38</v>
      </c>
      <c r="E314" s="2">
        <v>0.34375</v>
      </c>
      <c r="F314" t="s">
        <v>110</v>
      </c>
      <c r="G314">
        <v>98</v>
      </c>
      <c r="H314">
        <v>84</v>
      </c>
      <c r="I314">
        <v>12.5</v>
      </c>
      <c r="J314">
        <v>22</v>
      </c>
      <c r="K314" t="s">
        <v>51</v>
      </c>
      <c r="L314">
        <v>0</v>
      </c>
      <c r="M314" t="s">
        <v>34</v>
      </c>
      <c r="N314">
        <v>27</v>
      </c>
      <c r="O314">
        <v>26</v>
      </c>
      <c r="P314">
        <v>4.0999999999999996</v>
      </c>
      <c r="Q314">
        <v>0</v>
      </c>
      <c r="R314">
        <v>8</v>
      </c>
      <c r="S314">
        <v>2</v>
      </c>
      <c r="T314">
        <v>4</v>
      </c>
      <c r="U314">
        <v>0</v>
      </c>
      <c r="V314" t="s">
        <v>47</v>
      </c>
      <c r="W314">
        <v>0</v>
      </c>
      <c r="X314">
        <v>0.96296296296296202</v>
      </c>
      <c r="Y314">
        <v>0</v>
      </c>
      <c r="Z314">
        <v>4.4545454545454497</v>
      </c>
      <c r="AA314">
        <v>7.84</v>
      </c>
      <c r="AB314">
        <v>14</v>
      </c>
      <c r="AC314">
        <v>3.4760869565217298</v>
      </c>
    </row>
    <row r="315" spans="1:29" x14ac:dyDescent="0.35">
      <c r="A315" t="s">
        <v>395</v>
      </c>
      <c r="B315" t="s">
        <v>49</v>
      </c>
      <c r="C315" s="1">
        <v>45707</v>
      </c>
      <c r="D315" t="s">
        <v>78</v>
      </c>
      <c r="E315" s="2">
        <v>0.55208333333333337</v>
      </c>
      <c r="F315" t="s">
        <v>32</v>
      </c>
      <c r="G315">
        <v>46</v>
      </c>
      <c r="H315">
        <v>45</v>
      </c>
      <c r="I315">
        <v>8.1999999999999993</v>
      </c>
      <c r="J315">
        <v>15</v>
      </c>
      <c r="K315" t="s">
        <v>51</v>
      </c>
      <c r="L315">
        <v>0</v>
      </c>
      <c r="M315" t="s">
        <v>34</v>
      </c>
      <c r="N315">
        <v>32</v>
      </c>
      <c r="O315">
        <v>30</v>
      </c>
      <c r="P315">
        <v>4.8</v>
      </c>
      <c r="Q315">
        <v>0</v>
      </c>
      <c r="R315">
        <v>13</v>
      </c>
      <c r="S315">
        <v>2</v>
      </c>
      <c r="T315">
        <v>2</v>
      </c>
      <c r="U315">
        <v>0</v>
      </c>
      <c r="V315" t="s">
        <v>35</v>
      </c>
      <c r="W315">
        <v>0</v>
      </c>
      <c r="X315">
        <v>0.9375</v>
      </c>
      <c r="Y315">
        <v>0</v>
      </c>
      <c r="Z315">
        <v>3.0666666666666602</v>
      </c>
      <c r="AA315">
        <v>5.6097560975609699</v>
      </c>
      <c r="AB315">
        <v>1</v>
      </c>
      <c r="AC315">
        <v>3.6937500000000001</v>
      </c>
    </row>
    <row r="316" spans="1:29" x14ac:dyDescent="0.35">
      <c r="A316" t="s">
        <v>396</v>
      </c>
      <c r="B316" t="s">
        <v>43</v>
      </c>
      <c r="C316" s="1">
        <v>45697</v>
      </c>
      <c r="D316" t="s">
        <v>31</v>
      </c>
      <c r="E316" s="2">
        <v>0.27083333333333331</v>
      </c>
      <c r="F316" t="s">
        <v>55</v>
      </c>
      <c r="G316">
        <v>46</v>
      </c>
      <c r="H316">
        <v>39</v>
      </c>
      <c r="I316">
        <v>18.399999999999999</v>
      </c>
      <c r="J316">
        <v>32</v>
      </c>
      <c r="K316" t="s">
        <v>46</v>
      </c>
      <c r="L316">
        <v>0</v>
      </c>
      <c r="M316" t="s">
        <v>34</v>
      </c>
      <c r="N316">
        <v>18</v>
      </c>
      <c r="O316">
        <v>16</v>
      </c>
      <c r="P316">
        <v>7.5</v>
      </c>
      <c r="Q316">
        <v>0</v>
      </c>
      <c r="R316">
        <v>6</v>
      </c>
      <c r="S316">
        <v>2</v>
      </c>
      <c r="T316">
        <v>6</v>
      </c>
      <c r="U316">
        <v>1</v>
      </c>
      <c r="V316" t="s">
        <v>35</v>
      </c>
      <c r="W316">
        <v>0</v>
      </c>
      <c r="X316">
        <v>0.88888888888888795</v>
      </c>
      <c r="Y316">
        <v>1</v>
      </c>
      <c r="Z316">
        <v>1.4375</v>
      </c>
      <c r="AA316">
        <v>2.5</v>
      </c>
      <c r="AB316">
        <v>7</v>
      </c>
      <c r="AC316">
        <v>8.6013888888888896</v>
      </c>
    </row>
    <row r="317" spans="1:29" x14ac:dyDescent="0.35">
      <c r="A317" t="s">
        <v>397</v>
      </c>
      <c r="B317" t="s">
        <v>30</v>
      </c>
      <c r="C317" s="1">
        <v>45696</v>
      </c>
      <c r="D317" t="s">
        <v>50</v>
      </c>
      <c r="E317" s="2">
        <v>0.57291666666666663</v>
      </c>
      <c r="F317" t="s">
        <v>55</v>
      </c>
      <c r="G317">
        <v>52</v>
      </c>
      <c r="H317">
        <v>46</v>
      </c>
      <c r="I317">
        <v>10.1</v>
      </c>
      <c r="J317">
        <v>19</v>
      </c>
      <c r="K317" t="s">
        <v>33</v>
      </c>
      <c r="L317">
        <v>0</v>
      </c>
      <c r="M317" t="s">
        <v>52</v>
      </c>
      <c r="N317">
        <v>36</v>
      </c>
      <c r="O317">
        <v>35</v>
      </c>
      <c r="P317">
        <v>3.2</v>
      </c>
      <c r="Q317">
        <v>0</v>
      </c>
      <c r="R317">
        <v>13</v>
      </c>
      <c r="S317">
        <v>2</v>
      </c>
      <c r="T317">
        <v>5</v>
      </c>
      <c r="U317">
        <v>1</v>
      </c>
      <c r="V317" t="s">
        <v>35</v>
      </c>
      <c r="W317">
        <v>1</v>
      </c>
      <c r="X317">
        <v>0.97222222222222199</v>
      </c>
      <c r="Y317">
        <v>0</v>
      </c>
      <c r="Z317">
        <v>2.73684210526315</v>
      </c>
      <c r="AA317">
        <v>5.1485148514851398</v>
      </c>
      <c r="AB317">
        <v>6</v>
      </c>
      <c r="AC317">
        <v>3.6613636363636299</v>
      </c>
    </row>
    <row r="318" spans="1:29" x14ac:dyDescent="0.35">
      <c r="A318" t="s">
        <v>398</v>
      </c>
      <c r="B318" t="s">
        <v>60</v>
      </c>
      <c r="C318" s="1">
        <v>45702</v>
      </c>
      <c r="D318" t="s">
        <v>38</v>
      </c>
      <c r="E318" s="2">
        <v>0.3125</v>
      </c>
      <c r="F318" t="s">
        <v>55</v>
      </c>
      <c r="G318">
        <v>71</v>
      </c>
      <c r="H318">
        <v>65</v>
      </c>
      <c r="I318">
        <v>12.5</v>
      </c>
      <c r="J318">
        <v>22</v>
      </c>
      <c r="K318" t="s">
        <v>51</v>
      </c>
      <c r="L318">
        <v>0</v>
      </c>
      <c r="M318" t="s">
        <v>34</v>
      </c>
      <c r="N318">
        <v>27</v>
      </c>
      <c r="O318">
        <v>26</v>
      </c>
      <c r="P318">
        <v>4.0999999999999996</v>
      </c>
      <c r="Q318">
        <v>0</v>
      </c>
      <c r="R318">
        <v>7</v>
      </c>
      <c r="S318">
        <v>2</v>
      </c>
      <c r="T318">
        <v>4</v>
      </c>
      <c r="U318">
        <v>0</v>
      </c>
      <c r="V318" t="s">
        <v>47</v>
      </c>
      <c r="W318">
        <v>0</v>
      </c>
      <c r="X318">
        <v>0.96296296296296202</v>
      </c>
      <c r="Y318">
        <v>0</v>
      </c>
      <c r="Z318">
        <v>3.22727272727272</v>
      </c>
      <c r="AA318">
        <v>5.68</v>
      </c>
      <c r="AB318">
        <v>6</v>
      </c>
      <c r="AC318">
        <v>3.4760869565217298</v>
      </c>
    </row>
    <row r="319" spans="1:29" x14ac:dyDescent="0.35">
      <c r="A319" t="s">
        <v>399</v>
      </c>
      <c r="B319" t="s">
        <v>72</v>
      </c>
      <c r="C319" s="1">
        <v>45713</v>
      </c>
      <c r="D319" t="s">
        <v>44</v>
      </c>
      <c r="E319" s="2">
        <v>0.64583333333333337</v>
      </c>
      <c r="F319" t="s">
        <v>39</v>
      </c>
      <c r="G319">
        <v>42</v>
      </c>
      <c r="H319">
        <v>42</v>
      </c>
      <c r="I319">
        <v>11.6</v>
      </c>
      <c r="J319">
        <v>21</v>
      </c>
      <c r="K319" t="s">
        <v>33</v>
      </c>
      <c r="L319">
        <v>0</v>
      </c>
      <c r="M319" t="s">
        <v>34</v>
      </c>
      <c r="N319">
        <v>37</v>
      </c>
      <c r="O319">
        <v>37</v>
      </c>
      <c r="P319">
        <v>2.8</v>
      </c>
      <c r="Q319">
        <v>0</v>
      </c>
      <c r="R319">
        <v>15</v>
      </c>
      <c r="S319">
        <v>2</v>
      </c>
      <c r="T319">
        <v>1</v>
      </c>
      <c r="U319">
        <v>0</v>
      </c>
      <c r="V319" t="s">
        <v>35</v>
      </c>
      <c r="W319">
        <v>0</v>
      </c>
      <c r="X319">
        <v>1</v>
      </c>
      <c r="Y319">
        <v>0</v>
      </c>
      <c r="Z319">
        <v>2</v>
      </c>
      <c r="AA319">
        <v>3.6206896551724101</v>
      </c>
      <c r="AB319">
        <v>0</v>
      </c>
      <c r="AC319">
        <v>2.80217391304347</v>
      </c>
    </row>
    <row r="320" spans="1:29" x14ac:dyDescent="0.35">
      <c r="A320" t="s">
        <v>400</v>
      </c>
      <c r="B320" t="s">
        <v>72</v>
      </c>
      <c r="C320" s="1">
        <v>45696</v>
      </c>
      <c r="D320" t="s">
        <v>50</v>
      </c>
      <c r="E320" s="2">
        <v>0.73958333333333337</v>
      </c>
      <c r="F320" t="s">
        <v>89</v>
      </c>
      <c r="G320">
        <v>106</v>
      </c>
      <c r="H320">
        <v>104</v>
      </c>
      <c r="I320">
        <v>11.6</v>
      </c>
      <c r="J320">
        <v>21</v>
      </c>
      <c r="K320" t="s">
        <v>33</v>
      </c>
      <c r="L320">
        <v>0</v>
      </c>
      <c r="M320" t="s">
        <v>52</v>
      </c>
      <c r="N320">
        <v>33</v>
      </c>
      <c r="O320">
        <v>33</v>
      </c>
      <c r="P320">
        <v>7.1</v>
      </c>
      <c r="Q320">
        <v>0</v>
      </c>
      <c r="R320">
        <v>17</v>
      </c>
      <c r="S320">
        <v>2</v>
      </c>
      <c r="T320">
        <v>5</v>
      </c>
      <c r="U320">
        <v>1</v>
      </c>
      <c r="V320" t="s">
        <v>41</v>
      </c>
      <c r="W320">
        <v>1</v>
      </c>
      <c r="X320">
        <v>1</v>
      </c>
      <c r="Y320">
        <v>1</v>
      </c>
      <c r="Z320">
        <v>5.0476190476190403</v>
      </c>
      <c r="AA320">
        <v>9.1379310344827598</v>
      </c>
      <c r="AB320">
        <v>2</v>
      </c>
      <c r="AC320">
        <v>2.80217391304347</v>
      </c>
    </row>
    <row r="321" spans="1:29" x14ac:dyDescent="0.35">
      <c r="A321" t="s">
        <v>401</v>
      </c>
      <c r="B321" t="s">
        <v>37</v>
      </c>
      <c r="C321" s="1">
        <v>45686</v>
      </c>
      <c r="D321" t="s">
        <v>78</v>
      </c>
      <c r="E321" s="2">
        <v>0.46875</v>
      </c>
      <c r="F321" t="s">
        <v>39</v>
      </c>
      <c r="G321">
        <v>55</v>
      </c>
      <c r="H321">
        <v>53</v>
      </c>
      <c r="I321">
        <v>9.5</v>
      </c>
      <c r="J321">
        <v>17</v>
      </c>
      <c r="K321" t="s">
        <v>40</v>
      </c>
      <c r="L321">
        <v>0</v>
      </c>
      <c r="M321" t="s">
        <v>34</v>
      </c>
      <c r="N321">
        <v>36</v>
      </c>
      <c r="O321">
        <v>35</v>
      </c>
      <c r="P321">
        <v>5.5</v>
      </c>
      <c r="Q321">
        <v>0</v>
      </c>
      <c r="R321">
        <v>11</v>
      </c>
      <c r="S321">
        <v>1</v>
      </c>
      <c r="T321">
        <v>2</v>
      </c>
      <c r="U321">
        <v>0</v>
      </c>
      <c r="V321" t="s">
        <v>35</v>
      </c>
      <c r="W321">
        <v>0</v>
      </c>
      <c r="X321">
        <v>0.97222222222222199</v>
      </c>
      <c r="Y321">
        <v>1</v>
      </c>
      <c r="Z321">
        <v>3.23529411764705</v>
      </c>
      <c r="AA321">
        <v>5.7894736842105203</v>
      </c>
      <c r="AB321">
        <v>2</v>
      </c>
      <c r="AC321">
        <v>3.8470588235294101</v>
      </c>
    </row>
    <row r="322" spans="1:29" x14ac:dyDescent="0.35">
      <c r="A322" t="s">
        <v>402</v>
      </c>
      <c r="B322" t="s">
        <v>102</v>
      </c>
      <c r="C322" s="1">
        <v>45690</v>
      </c>
      <c r="D322" t="s">
        <v>31</v>
      </c>
      <c r="E322" s="2">
        <v>0.35416666666666669</v>
      </c>
      <c r="F322" t="s">
        <v>82</v>
      </c>
      <c r="G322">
        <v>58</v>
      </c>
      <c r="H322">
        <v>50</v>
      </c>
      <c r="I322">
        <v>7.3</v>
      </c>
      <c r="J322">
        <v>13</v>
      </c>
      <c r="K322" t="s">
        <v>66</v>
      </c>
      <c r="L322">
        <v>0</v>
      </c>
      <c r="M322" t="s">
        <v>34</v>
      </c>
      <c r="N322">
        <v>30</v>
      </c>
      <c r="O322">
        <v>29</v>
      </c>
      <c r="P322">
        <v>2</v>
      </c>
      <c r="Q322">
        <v>0</v>
      </c>
      <c r="R322">
        <v>8</v>
      </c>
      <c r="S322">
        <v>2</v>
      </c>
      <c r="T322">
        <v>6</v>
      </c>
      <c r="U322">
        <v>1</v>
      </c>
      <c r="V322" t="s">
        <v>47</v>
      </c>
      <c r="W322">
        <v>0</v>
      </c>
      <c r="X322">
        <v>0.96666666666666601</v>
      </c>
      <c r="Y322">
        <v>0</v>
      </c>
      <c r="Z322">
        <v>4.4615384615384599</v>
      </c>
      <c r="AA322">
        <v>7.9452054794520501</v>
      </c>
      <c r="AB322">
        <v>8</v>
      </c>
      <c r="AC322">
        <v>4.0518518518518496</v>
      </c>
    </row>
    <row r="323" spans="1:29" x14ac:dyDescent="0.35">
      <c r="A323" t="s">
        <v>403</v>
      </c>
      <c r="B323" t="s">
        <v>30</v>
      </c>
      <c r="C323" s="1">
        <v>45690</v>
      </c>
      <c r="D323" t="s">
        <v>31</v>
      </c>
      <c r="E323" s="2">
        <v>0.71875</v>
      </c>
      <c r="F323" t="s">
        <v>45</v>
      </c>
      <c r="G323">
        <v>58</v>
      </c>
      <c r="H323">
        <v>55</v>
      </c>
      <c r="I323">
        <v>10.1</v>
      </c>
      <c r="J323">
        <v>19</v>
      </c>
      <c r="K323" t="s">
        <v>33</v>
      </c>
      <c r="L323">
        <v>0</v>
      </c>
      <c r="M323" t="s">
        <v>34</v>
      </c>
      <c r="N323">
        <v>23</v>
      </c>
      <c r="O323">
        <v>22</v>
      </c>
      <c r="P323">
        <v>2</v>
      </c>
      <c r="Q323">
        <v>0</v>
      </c>
      <c r="R323">
        <v>17</v>
      </c>
      <c r="S323">
        <v>2</v>
      </c>
      <c r="T323">
        <v>6</v>
      </c>
      <c r="U323">
        <v>1</v>
      </c>
      <c r="V323" t="s">
        <v>41</v>
      </c>
      <c r="W323">
        <v>0</v>
      </c>
      <c r="X323">
        <v>0.95652173913043403</v>
      </c>
      <c r="Y323">
        <v>0</v>
      </c>
      <c r="Z323">
        <v>3.0526315789473601</v>
      </c>
      <c r="AA323">
        <v>5.7425742574257397</v>
      </c>
      <c r="AB323">
        <v>3</v>
      </c>
      <c r="AC323">
        <v>3.6613636363636299</v>
      </c>
    </row>
    <row r="324" spans="1:29" x14ac:dyDescent="0.35">
      <c r="A324" t="s">
        <v>404</v>
      </c>
      <c r="B324" t="s">
        <v>72</v>
      </c>
      <c r="C324" s="1">
        <v>45711</v>
      </c>
      <c r="D324" t="s">
        <v>31</v>
      </c>
      <c r="E324" s="2">
        <v>0.66666666666666663</v>
      </c>
      <c r="F324" t="s">
        <v>125</v>
      </c>
      <c r="G324">
        <v>31</v>
      </c>
      <c r="H324">
        <v>29</v>
      </c>
      <c r="I324">
        <v>11.6</v>
      </c>
      <c r="J324">
        <v>21</v>
      </c>
      <c r="K324" t="s">
        <v>33</v>
      </c>
      <c r="L324">
        <v>0</v>
      </c>
      <c r="M324" t="s">
        <v>34</v>
      </c>
      <c r="N324">
        <v>24</v>
      </c>
      <c r="O324">
        <v>24</v>
      </c>
      <c r="P324">
        <v>1.1000000000000001</v>
      </c>
      <c r="Q324">
        <v>0</v>
      </c>
      <c r="R324">
        <v>16</v>
      </c>
      <c r="S324">
        <v>2</v>
      </c>
      <c r="T324">
        <v>6</v>
      </c>
      <c r="U324">
        <v>1</v>
      </c>
      <c r="V324" t="s">
        <v>35</v>
      </c>
      <c r="W324">
        <v>0</v>
      </c>
      <c r="X324">
        <v>1</v>
      </c>
      <c r="Y324">
        <v>0</v>
      </c>
      <c r="Z324">
        <v>1.4761904761904701</v>
      </c>
      <c r="AA324">
        <v>2.67241379310344</v>
      </c>
      <c r="AB324">
        <v>2</v>
      </c>
      <c r="AC324">
        <v>2.80217391304347</v>
      </c>
    </row>
    <row r="325" spans="1:29" x14ac:dyDescent="0.35">
      <c r="A325" t="s">
        <v>405</v>
      </c>
      <c r="B325" t="s">
        <v>57</v>
      </c>
      <c r="C325" s="1">
        <v>45717</v>
      </c>
      <c r="D325" t="s">
        <v>50</v>
      </c>
      <c r="E325" s="2">
        <v>0.29166666666666669</v>
      </c>
      <c r="F325" t="s">
        <v>89</v>
      </c>
      <c r="G325">
        <v>61</v>
      </c>
      <c r="H325">
        <v>59</v>
      </c>
      <c r="I325">
        <v>14.2</v>
      </c>
      <c r="J325">
        <v>25</v>
      </c>
      <c r="K325" t="s">
        <v>46</v>
      </c>
      <c r="L325">
        <v>0</v>
      </c>
      <c r="M325" t="s">
        <v>34</v>
      </c>
      <c r="N325">
        <v>25</v>
      </c>
      <c r="O325">
        <v>20</v>
      </c>
      <c r="P325">
        <v>13.4</v>
      </c>
      <c r="Q325">
        <v>0</v>
      </c>
      <c r="R325">
        <v>7</v>
      </c>
      <c r="S325">
        <v>3</v>
      </c>
      <c r="T325">
        <v>5</v>
      </c>
      <c r="U325">
        <v>1</v>
      </c>
      <c r="V325" t="s">
        <v>47</v>
      </c>
      <c r="W325">
        <v>0</v>
      </c>
      <c r="X325">
        <v>0.8</v>
      </c>
      <c r="Y325">
        <v>1</v>
      </c>
      <c r="Z325">
        <v>2.44</v>
      </c>
      <c r="AA325">
        <v>4.2957746478873204</v>
      </c>
      <c r="AB325">
        <v>2</v>
      </c>
      <c r="AC325">
        <v>8.3255319148936096</v>
      </c>
    </row>
    <row r="326" spans="1:29" x14ac:dyDescent="0.35">
      <c r="A326" t="s">
        <v>406</v>
      </c>
      <c r="B326" t="s">
        <v>49</v>
      </c>
      <c r="C326" s="1">
        <v>45658</v>
      </c>
      <c r="D326" t="s">
        <v>78</v>
      </c>
      <c r="E326" s="2">
        <v>0.73958333333333337</v>
      </c>
      <c r="F326" t="s">
        <v>39</v>
      </c>
      <c r="G326">
        <v>75</v>
      </c>
      <c r="H326">
        <v>70</v>
      </c>
      <c r="I326">
        <v>8.1999999999999993</v>
      </c>
      <c r="J326">
        <v>15</v>
      </c>
      <c r="K326" t="s">
        <v>51</v>
      </c>
      <c r="L326">
        <v>1</v>
      </c>
      <c r="M326" t="s">
        <v>34</v>
      </c>
      <c r="N326">
        <v>30</v>
      </c>
      <c r="O326">
        <v>29</v>
      </c>
      <c r="P326">
        <v>13.6</v>
      </c>
      <c r="Q326">
        <v>0</v>
      </c>
      <c r="R326">
        <v>17</v>
      </c>
      <c r="S326">
        <v>1</v>
      </c>
      <c r="T326">
        <v>2</v>
      </c>
      <c r="U326">
        <v>0</v>
      </c>
      <c r="V326" t="s">
        <v>41</v>
      </c>
      <c r="W326">
        <v>0</v>
      </c>
      <c r="X326">
        <v>0.96666666666666601</v>
      </c>
      <c r="Y326">
        <v>1</v>
      </c>
      <c r="Z326">
        <v>5</v>
      </c>
      <c r="AA326">
        <v>9.1463414634146307</v>
      </c>
      <c r="AB326">
        <v>5</v>
      </c>
      <c r="AC326">
        <v>3.6937500000000001</v>
      </c>
    </row>
    <row r="327" spans="1:29" x14ac:dyDescent="0.35">
      <c r="A327" t="s">
        <v>407</v>
      </c>
      <c r="B327" t="s">
        <v>106</v>
      </c>
      <c r="C327" s="1">
        <v>45668</v>
      </c>
      <c r="D327" t="s">
        <v>50</v>
      </c>
      <c r="E327" s="2">
        <v>0.29166666666666669</v>
      </c>
      <c r="F327" t="s">
        <v>89</v>
      </c>
      <c r="G327">
        <v>103</v>
      </c>
      <c r="H327">
        <v>96</v>
      </c>
      <c r="I327">
        <v>15</v>
      </c>
      <c r="J327">
        <v>28</v>
      </c>
      <c r="K327" t="s">
        <v>40</v>
      </c>
      <c r="L327">
        <v>0</v>
      </c>
      <c r="M327" t="s">
        <v>52</v>
      </c>
      <c r="N327">
        <v>28</v>
      </c>
      <c r="O327">
        <v>23</v>
      </c>
      <c r="P327">
        <v>5.3</v>
      </c>
      <c r="Q327">
        <v>0</v>
      </c>
      <c r="R327">
        <v>7</v>
      </c>
      <c r="S327">
        <v>1</v>
      </c>
      <c r="T327">
        <v>5</v>
      </c>
      <c r="U327">
        <v>1</v>
      </c>
      <c r="V327" t="s">
        <v>47</v>
      </c>
      <c r="W327">
        <v>1</v>
      </c>
      <c r="X327">
        <v>0.82142857142857095</v>
      </c>
      <c r="Y327">
        <v>1</v>
      </c>
      <c r="Z327">
        <v>3.6785714285714199</v>
      </c>
      <c r="AA327">
        <v>6.86666666666666</v>
      </c>
      <c r="AB327">
        <v>7</v>
      </c>
      <c r="AC327">
        <v>9.4749999999999996</v>
      </c>
    </row>
    <row r="328" spans="1:29" x14ac:dyDescent="0.35">
      <c r="A328" t="s">
        <v>408</v>
      </c>
      <c r="B328" t="s">
        <v>43</v>
      </c>
      <c r="C328" s="1">
        <v>45692</v>
      </c>
      <c r="D328" t="s">
        <v>44</v>
      </c>
      <c r="E328" s="2">
        <v>0.34375</v>
      </c>
      <c r="F328" t="s">
        <v>45</v>
      </c>
      <c r="G328">
        <v>122.625</v>
      </c>
      <c r="H328">
        <v>127</v>
      </c>
      <c r="I328">
        <v>18.399999999999999</v>
      </c>
      <c r="J328">
        <v>32</v>
      </c>
      <c r="K328" t="s">
        <v>46</v>
      </c>
      <c r="L328">
        <v>0</v>
      </c>
      <c r="M328" t="s">
        <v>34</v>
      </c>
      <c r="N328">
        <v>35</v>
      </c>
      <c r="O328">
        <v>29</v>
      </c>
      <c r="P328">
        <v>9.5</v>
      </c>
      <c r="Q328">
        <v>0</v>
      </c>
      <c r="R328">
        <v>8</v>
      </c>
      <c r="S328">
        <v>2</v>
      </c>
      <c r="T328">
        <v>1</v>
      </c>
      <c r="U328">
        <v>0</v>
      </c>
      <c r="V328" t="s">
        <v>47</v>
      </c>
      <c r="W328">
        <v>0</v>
      </c>
      <c r="X328">
        <v>0.82857142857142796</v>
      </c>
      <c r="Y328">
        <v>1</v>
      </c>
      <c r="Z328">
        <v>3.83203125</v>
      </c>
      <c r="AA328">
        <v>6.6644021739130404</v>
      </c>
      <c r="AB328">
        <v>-4.375</v>
      </c>
      <c r="AC328">
        <v>8.6013888888888896</v>
      </c>
    </row>
    <row r="329" spans="1:29" x14ac:dyDescent="0.35">
      <c r="A329" t="s">
        <v>409</v>
      </c>
      <c r="B329" t="s">
        <v>30</v>
      </c>
      <c r="C329" s="1">
        <v>45683</v>
      </c>
      <c r="D329" t="s">
        <v>31</v>
      </c>
      <c r="E329" s="2">
        <v>0.66666666666666663</v>
      </c>
      <c r="F329" t="s">
        <v>125</v>
      </c>
      <c r="G329">
        <v>28</v>
      </c>
      <c r="H329">
        <v>26</v>
      </c>
      <c r="I329">
        <v>10.1</v>
      </c>
      <c r="J329">
        <v>19</v>
      </c>
      <c r="K329" t="s">
        <v>33</v>
      </c>
      <c r="L329">
        <v>1</v>
      </c>
      <c r="M329" t="s">
        <v>34</v>
      </c>
      <c r="N329">
        <v>24</v>
      </c>
      <c r="O329">
        <v>24</v>
      </c>
      <c r="P329">
        <v>3.3</v>
      </c>
      <c r="Q329">
        <v>1</v>
      </c>
      <c r="R329">
        <v>16</v>
      </c>
      <c r="S329">
        <v>1</v>
      </c>
      <c r="T329">
        <v>6</v>
      </c>
      <c r="U329">
        <v>1</v>
      </c>
      <c r="V329" t="s">
        <v>35</v>
      </c>
      <c r="W329">
        <v>0</v>
      </c>
      <c r="X329">
        <v>1</v>
      </c>
      <c r="Y329">
        <v>0</v>
      </c>
      <c r="Z329">
        <v>1.4736842105263099</v>
      </c>
      <c r="AA329">
        <v>2.7722772277227699</v>
      </c>
      <c r="AB329">
        <v>2</v>
      </c>
      <c r="AC329">
        <v>3.6613636363636299</v>
      </c>
    </row>
    <row r="330" spans="1:29" x14ac:dyDescent="0.35">
      <c r="A330" t="s">
        <v>410</v>
      </c>
      <c r="B330" t="s">
        <v>60</v>
      </c>
      <c r="C330" s="1">
        <v>45706</v>
      </c>
      <c r="D330" t="s">
        <v>44</v>
      </c>
      <c r="E330" s="2">
        <v>0.26041666666666669</v>
      </c>
      <c r="F330" t="s">
        <v>68</v>
      </c>
      <c r="G330">
        <v>47</v>
      </c>
      <c r="H330">
        <v>46</v>
      </c>
      <c r="I330">
        <v>12.5</v>
      </c>
      <c r="J330">
        <v>22</v>
      </c>
      <c r="K330" t="s">
        <v>51</v>
      </c>
      <c r="L330">
        <v>0</v>
      </c>
      <c r="M330" t="s">
        <v>34</v>
      </c>
      <c r="N330">
        <v>32</v>
      </c>
      <c r="O330">
        <v>30</v>
      </c>
      <c r="P330">
        <v>2.7</v>
      </c>
      <c r="Q330">
        <v>1</v>
      </c>
      <c r="R330">
        <v>6</v>
      </c>
      <c r="S330">
        <v>2</v>
      </c>
      <c r="T330">
        <v>1</v>
      </c>
      <c r="U330">
        <v>0</v>
      </c>
      <c r="V330" t="s">
        <v>35</v>
      </c>
      <c r="W330">
        <v>0</v>
      </c>
      <c r="X330">
        <v>0.9375</v>
      </c>
      <c r="Y330">
        <v>0</v>
      </c>
      <c r="Z330">
        <v>2.13636363636363</v>
      </c>
      <c r="AA330">
        <v>3.76</v>
      </c>
      <c r="AB330">
        <v>1</v>
      </c>
      <c r="AC330">
        <v>3.4760869565217298</v>
      </c>
    </row>
    <row r="331" spans="1:29" x14ac:dyDescent="0.35">
      <c r="A331" t="s">
        <v>411</v>
      </c>
      <c r="B331" t="s">
        <v>72</v>
      </c>
      <c r="C331" s="1">
        <v>45712</v>
      </c>
      <c r="D331" t="s">
        <v>87</v>
      </c>
      <c r="E331" s="2">
        <v>0.33333333333333331</v>
      </c>
      <c r="F331" t="s">
        <v>45</v>
      </c>
      <c r="G331">
        <v>94</v>
      </c>
      <c r="H331">
        <v>89</v>
      </c>
      <c r="I331">
        <v>11.6</v>
      </c>
      <c r="J331">
        <v>21</v>
      </c>
      <c r="K331" t="s">
        <v>33</v>
      </c>
      <c r="L331">
        <v>0</v>
      </c>
      <c r="M331" t="s">
        <v>34</v>
      </c>
      <c r="N331">
        <v>30</v>
      </c>
      <c r="O331">
        <v>29</v>
      </c>
      <c r="P331">
        <v>4.5</v>
      </c>
      <c r="Q331">
        <v>0</v>
      </c>
      <c r="R331">
        <v>8</v>
      </c>
      <c r="S331">
        <v>2</v>
      </c>
      <c r="T331">
        <v>0</v>
      </c>
      <c r="U331">
        <v>0</v>
      </c>
      <c r="V331" t="s">
        <v>47</v>
      </c>
      <c r="W331">
        <v>0</v>
      </c>
      <c r="X331">
        <v>0.96666666666666601</v>
      </c>
      <c r="Y331">
        <v>0</v>
      </c>
      <c r="Z331">
        <v>4.4761904761904701</v>
      </c>
      <c r="AA331">
        <v>8.1034482758620694</v>
      </c>
      <c r="AB331">
        <v>5</v>
      </c>
      <c r="AC331">
        <v>2.80217391304347</v>
      </c>
    </row>
    <row r="332" spans="1:29" x14ac:dyDescent="0.35">
      <c r="A332" t="s">
        <v>412</v>
      </c>
      <c r="B332" t="s">
        <v>60</v>
      </c>
      <c r="C332" s="1">
        <v>45713</v>
      </c>
      <c r="D332" t="s">
        <v>44</v>
      </c>
      <c r="E332" s="2">
        <v>0.375</v>
      </c>
      <c r="F332" t="s">
        <v>68</v>
      </c>
      <c r="G332">
        <v>95</v>
      </c>
      <c r="H332">
        <v>84</v>
      </c>
      <c r="I332">
        <v>12.5</v>
      </c>
      <c r="J332">
        <v>22</v>
      </c>
      <c r="K332" t="s">
        <v>51</v>
      </c>
      <c r="L332">
        <v>0</v>
      </c>
      <c r="M332" t="s">
        <v>34</v>
      </c>
      <c r="N332">
        <v>28</v>
      </c>
      <c r="O332">
        <v>28</v>
      </c>
      <c r="P332">
        <v>4.5</v>
      </c>
      <c r="Q332">
        <v>0</v>
      </c>
      <c r="R332">
        <v>9</v>
      </c>
      <c r="S332">
        <v>2</v>
      </c>
      <c r="T332">
        <v>1</v>
      </c>
      <c r="U332">
        <v>0</v>
      </c>
      <c r="V332" t="s">
        <v>47</v>
      </c>
      <c r="W332">
        <v>0</v>
      </c>
      <c r="X332">
        <v>1</v>
      </c>
      <c r="Y332">
        <v>0</v>
      </c>
      <c r="Z332">
        <v>4.3181818181818103</v>
      </c>
      <c r="AA332">
        <v>7.6</v>
      </c>
      <c r="AB332">
        <v>11</v>
      </c>
      <c r="AC332">
        <v>3.4760869565217298</v>
      </c>
    </row>
    <row r="333" spans="1:29" x14ac:dyDescent="0.35">
      <c r="A333" t="s">
        <v>413</v>
      </c>
      <c r="B333" t="s">
        <v>106</v>
      </c>
      <c r="C333" s="1">
        <v>45691</v>
      </c>
      <c r="D333" t="s">
        <v>87</v>
      </c>
      <c r="E333" s="2">
        <v>0.94791666666666663</v>
      </c>
      <c r="F333" t="s">
        <v>39</v>
      </c>
      <c r="G333">
        <v>61</v>
      </c>
      <c r="H333">
        <v>61</v>
      </c>
      <c r="I333">
        <v>15</v>
      </c>
      <c r="J333">
        <v>28</v>
      </c>
      <c r="K333" t="s">
        <v>40</v>
      </c>
      <c r="L333">
        <v>0</v>
      </c>
      <c r="M333" t="s">
        <v>34</v>
      </c>
      <c r="N333">
        <v>27</v>
      </c>
      <c r="O333">
        <v>23</v>
      </c>
      <c r="P333">
        <v>9.5</v>
      </c>
      <c r="Q333">
        <v>0</v>
      </c>
      <c r="R333">
        <v>22</v>
      </c>
      <c r="S333">
        <v>2</v>
      </c>
      <c r="T333">
        <v>0</v>
      </c>
      <c r="U333">
        <v>0</v>
      </c>
      <c r="V333" t="s">
        <v>35</v>
      </c>
      <c r="W333">
        <v>0</v>
      </c>
      <c r="X333">
        <v>0.85185185185185097</v>
      </c>
      <c r="Y333">
        <v>1</v>
      </c>
      <c r="Z333">
        <v>2.1785714285714199</v>
      </c>
      <c r="AA333">
        <v>4.0666666666666602</v>
      </c>
      <c r="AB333">
        <v>0</v>
      </c>
      <c r="AC333">
        <v>9.4749999999999996</v>
      </c>
    </row>
    <row r="334" spans="1:29" x14ac:dyDescent="0.35">
      <c r="A334" t="s">
        <v>414</v>
      </c>
      <c r="B334" t="s">
        <v>49</v>
      </c>
      <c r="C334" s="1">
        <v>45683</v>
      </c>
      <c r="D334" t="s">
        <v>31</v>
      </c>
      <c r="E334" s="2">
        <v>0.92708333333333337</v>
      </c>
      <c r="F334" t="s">
        <v>73</v>
      </c>
      <c r="G334">
        <v>23</v>
      </c>
      <c r="H334">
        <v>22</v>
      </c>
      <c r="I334">
        <v>8.1999999999999993</v>
      </c>
      <c r="J334">
        <v>15</v>
      </c>
      <c r="K334" t="s">
        <v>51</v>
      </c>
      <c r="L334">
        <v>1</v>
      </c>
      <c r="M334" t="s">
        <v>34</v>
      </c>
      <c r="N334">
        <v>19</v>
      </c>
      <c r="O334">
        <v>19</v>
      </c>
      <c r="P334">
        <v>2.5</v>
      </c>
      <c r="Q334">
        <v>0</v>
      </c>
      <c r="R334">
        <v>22</v>
      </c>
      <c r="S334">
        <v>1</v>
      </c>
      <c r="T334">
        <v>6</v>
      </c>
      <c r="U334">
        <v>1</v>
      </c>
      <c r="V334" t="s">
        <v>35</v>
      </c>
      <c r="W334">
        <v>0</v>
      </c>
      <c r="X334">
        <v>1</v>
      </c>
      <c r="Y334">
        <v>0</v>
      </c>
      <c r="Z334">
        <v>1.5333333333333301</v>
      </c>
      <c r="AA334">
        <v>2.8048780487804801</v>
      </c>
      <c r="AB334">
        <v>1</v>
      </c>
      <c r="AC334">
        <v>3.6937500000000001</v>
      </c>
    </row>
    <row r="335" spans="1:29" x14ac:dyDescent="0.35">
      <c r="A335" t="s">
        <v>415</v>
      </c>
      <c r="B335" t="s">
        <v>57</v>
      </c>
      <c r="C335" s="1">
        <v>45668</v>
      </c>
      <c r="D335" t="s">
        <v>50</v>
      </c>
      <c r="E335" s="2">
        <v>0.63541666666666663</v>
      </c>
      <c r="F335" t="s">
        <v>68</v>
      </c>
      <c r="G335">
        <v>70</v>
      </c>
      <c r="H335">
        <v>63</v>
      </c>
      <c r="I335">
        <v>14.2</v>
      </c>
      <c r="J335">
        <v>25</v>
      </c>
      <c r="K335" t="s">
        <v>46</v>
      </c>
      <c r="L335">
        <v>0</v>
      </c>
      <c r="M335" t="s">
        <v>52</v>
      </c>
      <c r="N335">
        <v>35</v>
      </c>
      <c r="O335">
        <v>31</v>
      </c>
      <c r="P335">
        <v>11.4</v>
      </c>
      <c r="Q335">
        <v>0</v>
      </c>
      <c r="R335">
        <v>15</v>
      </c>
      <c r="S335">
        <v>1</v>
      </c>
      <c r="T335">
        <v>5</v>
      </c>
      <c r="U335">
        <v>1</v>
      </c>
      <c r="V335" t="s">
        <v>35</v>
      </c>
      <c r="W335">
        <v>1</v>
      </c>
      <c r="X335">
        <v>0.88571428571428501</v>
      </c>
      <c r="Y335">
        <v>1</v>
      </c>
      <c r="Z335">
        <v>2.8</v>
      </c>
      <c r="AA335">
        <v>4.9295774647887303</v>
      </c>
      <c r="AB335">
        <v>7</v>
      </c>
      <c r="AC335">
        <v>8.3255319148936096</v>
      </c>
    </row>
    <row r="336" spans="1:29" x14ac:dyDescent="0.35">
      <c r="A336" t="s">
        <v>416</v>
      </c>
      <c r="B336" t="s">
        <v>60</v>
      </c>
      <c r="C336" s="1">
        <v>45694</v>
      </c>
      <c r="D336" t="s">
        <v>54</v>
      </c>
      <c r="E336" s="2">
        <v>0.61458333333333337</v>
      </c>
      <c r="F336" t="s">
        <v>32</v>
      </c>
      <c r="G336">
        <v>52</v>
      </c>
      <c r="H336">
        <v>50</v>
      </c>
      <c r="I336">
        <v>12.5</v>
      </c>
      <c r="J336">
        <v>22</v>
      </c>
      <c r="K336" t="s">
        <v>51</v>
      </c>
      <c r="L336">
        <v>0</v>
      </c>
      <c r="M336" t="s">
        <v>34</v>
      </c>
      <c r="N336">
        <v>27</v>
      </c>
      <c r="O336">
        <v>27</v>
      </c>
      <c r="P336">
        <v>1.2</v>
      </c>
      <c r="Q336">
        <v>0</v>
      </c>
      <c r="R336">
        <v>14</v>
      </c>
      <c r="S336">
        <v>2</v>
      </c>
      <c r="T336">
        <v>3</v>
      </c>
      <c r="U336">
        <v>0</v>
      </c>
      <c r="V336" t="s">
        <v>35</v>
      </c>
      <c r="W336">
        <v>0</v>
      </c>
      <c r="X336">
        <v>1</v>
      </c>
      <c r="Y336">
        <v>0</v>
      </c>
      <c r="Z336">
        <v>2.3636363636363602</v>
      </c>
      <c r="AA336">
        <v>4.16</v>
      </c>
      <c r="AB336">
        <v>2</v>
      </c>
      <c r="AC336">
        <v>3.4760869565217298</v>
      </c>
    </row>
    <row r="337" spans="1:29" x14ac:dyDescent="0.35">
      <c r="A337" t="s">
        <v>417</v>
      </c>
      <c r="B337" t="s">
        <v>57</v>
      </c>
      <c r="C337" s="1">
        <v>45660</v>
      </c>
      <c r="D337" t="s">
        <v>38</v>
      </c>
      <c r="E337" s="2">
        <v>0.75</v>
      </c>
      <c r="F337" t="s">
        <v>84</v>
      </c>
      <c r="G337">
        <v>83</v>
      </c>
      <c r="H337">
        <v>71</v>
      </c>
      <c r="I337">
        <v>14.2</v>
      </c>
      <c r="J337">
        <v>25</v>
      </c>
      <c r="K337" t="s">
        <v>46</v>
      </c>
      <c r="L337">
        <v>0</v>
      </c>
      <c r="M337" t="s">
        <v>34</v>
      </c>
      <c r="N337">
        <v>34</v>
      </c>
      <c r="O337">
        <v>31</v>
      </c>
      <c r="P337">
        <v>8.3000000000000007</v>
      </c>
      <c r="Q337">
        <v>0</v>
      </c>
      <c r="R337">
        <v>18</v>
      </c>
      <c r="S337">
        <v>1</v>
      </c>
      <c r="T337">
        <v>4</v>
      </c>
      <c r="U337">
        <v>0</v>
      </c>
      <c r="V337" t="s">
        <v>41</v>
      </c>
      <c r="W337">
        <v>0</v>
      </c>
      <c r="X337">
        <v>0.91176470588235203</v>
      </c>
      <c r="Y337">
        <v>1</v>
      </c>
      <c r="Z337">
        <v>3.32</v>
      </c>
      <c r="AA337">
        <v>5.8450704225352101</v>
      </c>
      <c r="AB337">
        <v>12</v>
      </c>
      <c r="AC337">
        <v>8.3255319148936096</v>
      </c>
    </row>
    <row r="338" spans="1:29" x14ac:dyDescent="0.35">
      <c r="A338" t="s">
        <v>418</v>
      </c>
      <c r="B338" t="s">
        <v>30</v>
      </c>
      <c r="C338" s="1">
        <v>45661</v>
      </c>
      <c r="D338" t="s">
        <v>50</v>
      </c>
      <c r="E338" s="2">
        <v>0.90625</v>
      </c>
      <c r="F338" t="s">
        <v>100</v>
      </c>
      <c r="G338">
        <v>34</v>
      </c>
      <c r="H338">
        <v>31</v>
      </c>
      <c r="I338">
        <v>10.1</v>
      </c>
      <c r="J338">
        <v>19</v>
      </c>
      <c r="K338" t="s">
        <v>33</v>
      </c>
      <c r="L338">
        <v>0</v>
      </c>
      <c r="M338" t="s">
        <v>34</v>
      </c>
      <c r="N338">
        <v>26</v>
      </c>
      <c r="O338">
        <v>25</v>
      </c>
      <c r="P338">
        <v>6</v>
      </c>
      <c r="Q338">
        <v>0</v>
      </c>
      <c r="R338">
        <v>21</v>
      </c>
      <c r="S338">
        <v>1</v>
      </c>
      <c r="T338">
        <v>5</v>
      </c>
      <c r="U338">
        <v>1</v>
      </c>
      <c r="V338" t="s">
        <v>35</v>
      </c>
      <c r="W338">
        <v>0</v>
      </c>
      <c r="X338">
        <v>0.96153846153846101</v>
      </c>
      <c r="Y338">
        <v>1</v>
      </c>
      <c r="Z338">
        <v>1.7894736842105201</v>
      </c>
      <c r="AA338">
        <v>3.36633663366336</v>
      </c>
      <c r="AB338">
        <v>3</v>
      </c>
      <c r="AC338">
        <v>3.6613636363636299</v>
      </c>
    </row>
    <row r="339" spans="1:29" x14ac:dyDescent="0.35">
      <c r="A339" t="s">
        <v>419</v>
      </c>
      <c r="B339" t="s">
        <v>102</v>
      </c>
      <c r="C339" s="1">
        <v>45662</v>
      </c>
      <c r="D339" t="s">
        <v>31</v>
      </c>
      <c r="E339" s="2">
        <v>0.53125</v>
      </c>
      <c r="F339" t="s">
        <v>73</v>
      </c>
      <c r="G339">
        <v>26</v>
      </c>
      <c r="H339">
        <v>24</v>
      </c>
      <c r="I339">
        <v>7.3</v>
      </c>
      <c r="J339">
        <v>13</v>
      </c>
      <c r="K339" t="s">
        <v>66</v>
      </c>
      <c r="L339">
        <v>0</v>
      </c>
      <c r="M339" t="s">
        <v>34</v>
      </c>
      <c r="N339">
        <v>30</v>
      </c>
      <c r="O339">
        <v>29</v>
      </c>
      <c r="P339">
        <v>6.2</v>
      </c>
      <c r="Q339">
        <v>0</v>
      </c>
      <c r="R339">
        <v>12</v>
      </c>
      <c r="S339">
        <v>1</v>
      </c>
      <c r="T339">
        <v>6</v>
      </c>
      <c r="U339">
        <v>1</v>
      </c>
      <c r="V339" t="s">
        <v>35</v>
      </c>
      <c r="W339">
        <v>0</v>
      </c>
      <c r="X339">
        <v>0.96666666666666601</v>
      </c>
      <c r="Y339">
        <v>1</v>
      </c>
      <c r="Z339">
        <v>2</v>
      </c>
      <c r="AA339">
        <v>3.5616438356164299</v>
      </c>
      <c r="AB339">
        <v>2</v>
      </c>
      <c r="AC339">
        <v>4.0518518518518496</v>
      </c>
    </row>
    <row r="340" spans="1:29" x14ac:dyDescent="0.35">
      <c r="A340" t="s">
        <v>420</v>
      </c>
      <c r="B340" t="s">
        <v>30</v>
      </c>
      <c r="C340" s="1">
        <v>45708</v>
      </c>
      <c r="D340" t="s">
        <v>54</v>
      </c>
      <c r="E340" s="2">
        <v>0.70833333333333337</v>
      </c>
      <c r="F340" t="s">
        <v>76</v>
      </c>
      <c r="G340">
        <v>95</v>
      </c>
      <c r="H340">
        <v>86</v>
      </c>
      <c r="I340">
        <v>10.1</v>
      </c>
      <c r="J340">
        <v>19</v>
      </c>
      <c r="K340" t="s">
        <v>33</v>
      </c>
      <c r="L340">
        <v>0</v>
      </c>
      <c r="M340" t="s">
        <v>34</v>
      </c>
      <c r="N340">
        <v>18</v>
      </c>
      <c r="O340">
        <v>17</v>
      </c>
      <c r="P340">
        <v>3.6</v>
      </c>
      <c r="Q340">
        <v>0</v>
      </c>
      <c r="R340">
        <v>17</v>
      </c>
      <c r="S340">
        <v>2</v>
      </c>
      <c r="T340">
        <v>3</v>
      </c>
      <c r="U340">
        <v>0</v>
      </c>
      <c r="V340" t="s">
        <v>41</v>
      </c>
      <c r="W340">
        <v>0</v>
      </c>
      <c r="X340">
        <v>0.94444444444444398</v>
      </c>
      <c r="Y340">
        <v>0</v>
      </c>
      <c r="Z340">
        <v>5</v>
      </c>
      <c r="AA340">
        <v>9.4059405940594001</v>
      </c>
      <c r="AB340">
        <v>9</v>
      </c>
      <c r="AC340">
        <v>3.6613636363636299</v>
      </c>
    </row>
    <row r="341" spans="1:29" x14ac:dyDescent="0.35">
      <c r="A341" t="s">
        <v>421</v>
      </c>
      <c r="B341" t="s">
        <v>72</v>
      </c>
      <c r="C341" s="1">
        <v>45708</v>
      </c>
      <c r="D341" t="s">
        <v>54</v>
      </c>
      <c r="E341" s="2">
        <v>0.64583333333333337</v>
      </c>
      <c r="F341" t="s">
        <v>55</v>
      </c>
      <c r="G341">
        <v>43</v>
      </c>
      <c r="H341">
        <v>37</v>
      </c>
      <c r="I341">
        <v>11.6</v>
      </c>
      <c r="J341">
        <v>21</v>
      </c>
      <c r="K341" t="s">
        <v>33</v>
      </c>
      <c r="L341">
        <v>0</v>
      </c>
      <c r="M341" t="s">
        <v>34</v>
      </c>
      <c r="N341">
        <v>33</v>
      </c>
      <c r="O341">
        <v>31</v>
      </c>
      <c r="P341">
        <v>3.1</v>
      </c>
      <c r="Q341">
        <v>0</v>
      </c>
      <c r="R341">
        <v>15</v>
      </c>
      <c r="S341">
        <v>2</v>
      </c>
      <c r="T341">
        <v>3</v>
      </c>
      <c r="U341">
        <v>0</v>
      </c>
      <c r="V341" t="s">
        <v>35</v>
      </c>
      <c r="W341">
        <v>0</v>
      </c>
      <c r="X341">
        <v>0.939393939393939</v>
      </c>
      <c r="Y341">
        <v>0</v>
      </c>
      <c r="Z341">
        <v>2.0476190476190399</v>
      </c>
      <c r="AA341">
        <v>3.7068965517241299</v>
      </c>
      <c r="AB341">
        <v>6</v>
      </c>
      <c r="AC341">
        <v>2.80217391304347</v>
      </c>
    </row>
    <row r="342" spans="1:29" x14ac:dyDescent="0.35">
      <c r="A342" t="s">
        <v>422</v>
      </c>
      <c r="B342" t="s">
        <v>102</v>
      </c>
      <c r="C342" s="1">
        <v>45708</v>
      </c>
      <c r="D342" t="s">
        <v>54</v>
      </c>
      <c r="E342" s="2">
        <v>0.32291666666666669</v>
      </c>
      <c r="F342" t="s">
        <v>89</v>
      </c>
      <c r="G342">
        <v>56</v>
      </c>
      <c r="H342">
        <v>54</v>
      </c>
      <c r="I342">
        <v>7.3</v>
      </c>
      <c r="J342">
        <v>13</v>
      </c>
      <c r="K342" t="s">
        <v>66</v>
      </c>
      <c r="L342">
        <v>0</v>
      </c>
      <c r="M342" t="s">
        <v>34</v>
      </c>
      <c r="N342">
        <v>19</v>
      </c>
      <c r="O342">
        <v>19</v>
      </c>
      <c r="P342">
        <v>2.1</v>
      </c>
      <c r="Q342">
        <v>0</v>
      </c>
      <c r="R342">
        <v>7</v>
      </c>
      <c r="S342">
        <v>2</v>
      </c>
      <c r="T342">
        <v>3</v>
      </c>
      <c r="U342">
        <v>0</v>
      </c>
      <c r="V342" t="s">
        <v>47</v>
      </c>
      <c r="W342">
        <v>0</v>
      </c>
      <c r="X342">
        <v>1</v>
      </c>
      <c r="Y342">
        <v>0</v>
      </c>
      <c r="Z342">
        <v>4.3076923076923004</v>
      </c>
      <c r="AA342">
        <v>7.6712328767123203</v>
      </c>
      <c r="AB342">
        <v>2</v>
      </c>
      <c r="AC342">
        <v>4.0518518518518496</v>
      </c>
    </row>
    <row r="343" spans="1:29" x14ac:dyDescent="0.35">
      <c r="A343" t="s">
        <v>423</v>
      </c>
      <c r="B343" t="s">
        <v>60</v>
      </c>
      <c r="C343" s="1">
        <v>45686</v>
      </c>
      <c r="D343" t="s">
        <v>78</v>
      </c>
      <c r="E343" s="2">
        <v>0.6875</v>
      </c>
      <c r="F343" t="s">
        <v>100</v>
      </c>
      <c r="G343">
        <v>61</v>
      </c>
      <c r="H343">
        <v>57</v>
      </c>
      <c r="I343">
        <v>12.5</v>
      </c>
      <c r="J343">
        <v>22</v>
      </c>
      <c r="K343" t="s">
        <v>51</v>
      </c>
      <c r="L343">
        <v>0</v>
      </c>
      <c r="M343" t="s">
        <v>34</v>
      </c>
      <c r="N343">
        <v>33</v>
      </c>
      <c r="O343">
        <v>31</v>
      </c>
      <c r="P343">
        <v>2.7</v>
      </c>
      <c r="Q343">
        <v>0</v>
      </c>
      <c r="R343">
        <v>16</v>
      </c>
      <c r="S343">
        <v>1</v>
      </c>
      <c r="T343">
        <v>2</v>
      </c>
      <c r="U343">
        <v>0</v>
      </c>
      <c r="V343" t="s">
        <v>35</v>
      </c>
      <c r="W343">
        <v>0</v>
      </c>
      <c r="X343">
        <v>0.939393939393939</v>
      </c>
      <c r="Y343">
        <v>0</v>
      </c>
      <c r="Z343">
        <v>2.7727272727272698</v>
      </c>
      <c r="AA343">
        <v>4.88</v>
      </c>
      <c r="AB343">
        <v>4</v>
      </c>
      <c r="AC343">
        <v>3.4760869565217298</v>
      </c>
    </row>
    <row r="344" spans="1:29" x14ac:dyDescent="0.35">
      <c r="A344" t="s">
        <v>424</v>
      </c>
      <c r="B344" t="s">
        <v>37</v>
      </c>
      <c r="C344" s="1">
        <v>45704</v>
      </c>
      <c r="D344" t="s">
        <v>31</v>
      </c>
      <c r="E344" s="2">
        <v>0.875</v>
      </c>
      <c r="F344" t="s">
        <v>61</v>
      </c>
      <c r="G344">
        <v>26</v>
      </c>
      <c r="H344">
        <v>26</v>
      </c>
      <c r="I344">
        <v>9.5</v>
      </c>
      <c r="J344">
        <v>17</v>
      </c>
      <c r="K344" t="s">
        <v>40</v>
      </c>
      <c r="L344">
        <v>0</v>
      </c>
      <c r="M344" t="s">
        <v>34</v>
      </c>
      <c r="N344">
        <v>18</v>
      </c>
      <c r="O344">
        <v>17</v>
      </c>
      <c r="P344">
        <v>4.4000000000000004</v>
      </c>
      <c r="Q344">
        <v>0</v>
      </c>
      <c r="R344">
        <v>21</v>
      </c>
      <c r="S344">
        <v>2</v>
      </c>
      <c r="T344">
        <v>6</v>
      </c>
      <c r="U344">
        <v>1</v>
      </c>
      <c r="V344" t="s">
        <v>35</v>
      </c>
      <c r="W344">
        <v>0</v>
      </c>
      <c r="X344">
        <v>0.94444444444444398</v>
      </c>
      <c r="Y344">
        <v>0</v>
      </c>
      <c r="Z344">
        <v>1.52941176470588</v>
      </c>
      <c r="AA344">
        <v>2.73684210526315</v>
      </c>
      <c r="AB344">
        <v>0</v>
      </c>
      <c r="AC344">
        <v>3.8470588235294101</v>
      </c>
    </row>
    <row r="345" spans="1:29" x14ac:dyDescent="0.35">
      <c r="A345" t="s">
        <v>425</v>
      </c>
      <c r="B345" t="s">
        <v>43</v>
      </c>
      <c r="C345" s="1">
        <v>45705</v>
      </c>
      <c r="D345" t="s">
        <v>87</v>
      </c>
      <c r="E345" s="2">
        <v>0.57291666666666663</v>
      </c>
      <c r="F345" t="s">
        <v>32</v>
      </c>
      <c r="G345">
        <v>57</v>
      </c>
      <c r="H345">
        <v>51</v>
      </c>
      <c r="I345">
        <v>18.399999999999999</v>
      </c>
      <c r="J345">
        <v>32</v>
      </c>
      <c r="K345" t="s">
        <v>46</v>
      </c>
      <c r="L345">
        <v>0</v>
      </c>
      <c r="M345" t="s">
        <v>34</v>
      </c>
      <c r="N345">
        <v>20</v>
      </c>
      <c r="O345">
        <v>17</v>
      </c>
      <c r="P345">
        <v>9.5</v>
      </c>
      <c r="Q345">
        <v>0</v>
      </c>
      <c r="R345">
        <v>13</v>
      </c>
      <c r="S345">
        <v>2</v>
      </c>
      <c r="T345">
        <v>0</v>
      </c>
      <c r="U345">
        <v>0</v>
      </c>
      <c r="V345" t="s">
        <v>35</v>
      </c>
      <c r="W345">
        <v>0</v>
      </c>
      <c r="X345">
        <v>0.85</v>
      </c>
      <c r="Y345">
        <v>1</v>
      </c>
      <c r="Z345">
        <v>1.78125</v>
      </c>
      <c r="AA345">
        <v>3.0978260869565202</v>
      </c>
      <c r="AB345">
        <v>6</v>
      </c>
      <c r="AC345">
        <v>8.6013888888888896</v>
      </c>
    </row>
    <row r="346" spans="1:29" x14ac:dyDescent="0.35">
      <c r="A346" t="s">
        <v>426</v>
      </c>
      <c r="B346" t="s">
        <v>43</v>
      </c>
      <c r="C346" s="1">
        <v>45666</v>
      </c>
      <c r="D346" t="s">
        <v>54</v>
      </c>
      <c r="E346" s="2">
        <v>0.71875</v>
      </c>
      <c r="F346" t="s">
        <v>45</v>
      </c>
      <c r="G346">
        <v>122.625</v>
      </c>
      <c r="H346">
        <v>118</v>
      </c>
      <c r="I346">
        <v>18.399999999999999</v>
      </c>
      <c r="J346">
        <v>32</v>
      </c>
      <c r="K346" t="s">
        <v>46</v>
      </c>
      <c r="L346">
        <v>0</v>
      </c>
      <c r="M346" t="s">
        <v>34</v>
      </c>
      <c r="N346">
        <v>23</v>
      </c>
      <c r="O346">
        <v>22</v>
      </c>
      <c r="P346">
        <v>9.1999999999999993</v>
      </c>
      <c r="Q346">
        <v>0</v>
      </c>
      <c r="R346">
        <v>17</v>
      </c>
      <c r="S346">
        <v>1</v>
      </c>
      <c r="T346">
        <v>3</v>
      </c>
      <c r="U346">
        <v>0</v>
      </c>
      <c r="V346" t="s">
        <v>41</v>
      </c>
      <c r="W346">
        <v>0</v>
      </c>
      <c r="X346">
        <v>0.95652173913043403</v>
      </c>
      <c r="Y346">
        <v>1</v>
      </c>
      <c r="Z346">
        <v>3.83203125</v>
      </c>
      <c r="AA346">
        <v>6.6644021739130404</v>
      </c>
      <c r="AB346">
        <v>4.625</v>
      </c>
      <c r="AC346">
        <v>8.6013888888888896</v>
      </c>
    </row>
    <row r="347" spans="1:29" x14ac:dyDescent="0.35">
      <c r="A347" t="s">
        <v>427</v>
      </c>
      <c r="B347" t="s">
        <v>65</v>
      </c>
      <c r="C347" s="1">
        <v>45687</v>
      </c>
      <c r="D347" t="s">
        <v>54</v>
      </c>
      <c r="E347" s="2">
        <v>0.35416666666666669</v>
      </c>
      <c r="F347" t="s">
        <v>82</v>
      </c>
      <c r="G347">
        <v>73</v>
      </c>
      <c r="H347">
        <v>62</v>
      </c>
      <c r="I347">
        <v>6.8</v>
      </c>
      <c r="J347">
        <v>12</v>
      </c>
      <c r="K347" t="s">
        <v>66</v>
      </c>
      <c r="L347">
        <v>0</v>
      </c>
      <c r="M347" t="s">
        <v>34</v>
      </c>
      <c r="N347">
        <v>31</v>
      </c>
      <c r="O347">
        <v>30</v>
      </c>
      <c r="P347">
        <v>0.9</v>
      </c>
      <c r="Q347">
        <v>0</v>
      </c>
      <c r="R347">
        <v>8</v>
      </c>
      <c r="S347">
        <v>1</v>
      </c>
      <c r="T347">
        <v>3</v>
      </c>
      <c r="U347">
        <v>0</v>
      </c>
      <c r="V347" t="s">
        <v>47</v>
      </c>
      <c r="W347">
        <v>0</v>
      </c>
      <c r="X347">
        <v>0.967741935483871</v>
      </c>
      <c r="Y347">
        <v>0</v>
      </c>
      <c r="Z347">
        <v>6.0833333333333304</v>
      </c>
      <c r="AA347">
        <v>10.735294117646999</v>
      </c>
      <c r="AB347">
        <v>11</v>
      </c>
      <c r="AC347">
        <v>2.7611111111111102</v>
      </c>
    </row>
    <row r="348" spans="1:29" x14ac:dyDescent="0.35">
      <c r="A348" t="s">
        <v>428</v>
      </c>
      <c r="B348" t="s">
        <v>106</v>
      </c>
      <c r="C348" s="1">
        <v>45672</v>
      </c>
      <c r="D348" t="s">
        <v>78</v>
      </c>
      <c r="E348" s="2">
        <v>0.77083333333333337</v>
      </c>
      <c r="F348" t="s">
        <v>104</v>
      </c>
      <c r="G348">
        <v>69</v>
      </c>
      <c r="H348">
        <v>67</v>
      </c>
      <c r="I348">
        <v>15</v>
      </c>
      <c r="J348">
        <v>28</v>
      </c>
      <c r="K348" t="s">
        <v>40</v>
      </c>
      <c r="L348">
        <v>0</v>
      </c>
      <c r="M348" t="s">
        <v>34</v>
      </c>
      <c r="N348">
        <v>31</v>
      </c>
      <c r="O348">
        <v>25</v>
      </c>
      <c r="P348">
        <v>9.9</v>
      </c>
      <c r="Q348">
        <v>0</v>
      </c>
      <c r="R348">
        <v>18</v>
      </c>
      <c r="S348">
        <v>1</v>
      </c>
      <c r="T348">
        <v>2</v>
      </c>
      <c r="U348">
        <v>0</v>
      </c>
      <c r="V348" t="s">
        <v>41</v>
      </c>
      <c r="W348">
        <v>0</v>
      </c>
      <c r="X348">
        <v>0.80645161290322498</v>
      </c>
      <c r="Y348">
        <v>1</v>
      </c>
      <c r="Z348">
        <v>2.46428571428571</v>
      </c>
      <c r="AA348">
        <v>4.5999999999999996</v>
      </c>
      <c r="AB348">
        <v>2</v>
      </c>
      <c r="AC348">
        <v>9.4749999999999996</v>
      </c>
    </row>
    <row r="349" spans="1:29" x14ac:dyDescent="0.35">
      <c r="A349" t="s">
        <v>429</v>
      </c>
      <c r="B349" t="s">
        <v>49</v>
      </c>
      <c r="C349" s="1">
        <v>45708</v>
      </c>
      <c r="D349" t="s">
        <v>54</v>
      </c>
      <c r="E349" s="2">
        <v>0.65625</v>
      </c>
      <c r="F349" t="s">
        <v>68</v>
      </c>
      <c r="G349">
        <v>24</v>
      </c>
      <c r="H349">
        <v>23</v>
      </c>
      <c r="I349">
        <v>8.1999999999999993</v>
      </c>
      <c r="J349">
        <v>15</v>
      </c>
      <c r="K349" t="s">
        <v>51</v>
      </c>
      <c r="L349">
        <v>0</v>
      </c>
      <c r="M349" t="s">
        <v>34</v>
      </c>
      <c r="N349">
        <v>22</v>
      </c>
      <c r="O349">
        <v>21</v>
      </c>
      <c r="P349">
        <v>2.95</v>
      </c>
      <c r="Q349">
        <v>1</v>
      </c>
      <c r="R349">
        <v>15</v>
      </c>
      <c r="S349">
        <v>2</v>
      </c>
      <c r="T349">
        <v>3</v>
      </c>
      <c r="U349">
        <v>0</v>
      </c>
      <c r="V349" t="s">
        <v>35</v>
      </c>
      <c r="W349">
        <v>0</v>
      </c>
      <c r="X349">
        <v>0.95454545454545403</v>
      </c>
      <c r="Y349">
        <v>0</v>
      </c>
      <c r="Z349">
        <v>1.6</v>
      </c>
      <c r="AA349">
        <v>2.9268292682926802</v>
      </c>
      <c r="AB349">
        <v>1</v>
      </c>
      <c r="AC349">
        <v>3.6937500000000001</v>
      </c>
    </row>
    <row r="350" spans="1:29" x14ac:dyDescent="0.35">
      <c r="A350" t="s">
        <v>430</v>
      </c>
      <c r="B350" t="s">
        <v>102</v>
      </c>
      <c r="C350" s="1">
        <v>45685</v>
      </c>
      <c r="D350" t="s">
        <v>44</v>
      </c>
      <c r="E350" s="2">
        <v>0.86458333333333337</v>
      </c>
      <c r="F350" t="s">
        <v>68</v>
      </c>
      <c r="G350">
        <v>35</v>
      </c>
      <c r="H350">
        <v>34</v>
      </c>
      <c r="I350">
        <v>7.3</v>
      </c>
      <c r="J350">
        <v>13</v>
      </c>
      <c r="K350" t="s">
        <v>66</v>
      </c>
      <c r="L350">
        <v>0</v>
      </c>
      <c r="M350" t="s">
        <v>34</v>
      </c>
      <c r="N350">
        <v>24</v>
      </c>
      <c r="O350">
        <v>23</v>
      </c>
      <c r="P350">
        <v>3.2</v>
      </c>
      <c r="Q350">
        <v>0</v>
      </c>
      <c r="R350">
        <v>20</v>
      </c>
      <c r="S350">
        <v>1</v>
      </c>
      <c r="T350">
        <v>1</v>
      </c>
      <c r="U350">
        <v>0</v>
      </c>
      <c r="V350" t="s">
        <v>35</v>
      </c>
      <c r="W350">
        <v>0</v>
      </c>
      <c r="X350">
        <v>0.95833333333333304</v>
      </c>
      <c r="Y350">
        <v>0</v>
      </c>
      <c r="Z350">
        <v>2.6923076923076898</v>
      </c>
      <c r="AA350">
        <v>4.7945205479451998</v>
      </c>
      <c r="AB350">
        <v>1</v>
      </c>
      <c r="AC350">
        <v>4.0518518518518496</v>
      </c>
    </row>
    <row r="351" spans="1:29" x14ac:dyDescent="0.35">
      <c r="A351" t="s">
        <v>431</v>
      </c>
      <c r="B351" t="s">
        <v>49</v>
      </c>
      <c r="C351" s="1">
        <v>45680</v>
      </c>
      <c r="D351" t="s">
        <v>54</v>
      </c>
      <c r="E351" s="2">
        <v>0.83333333333333337</v>
      </c>
      <c r="F351" t="s">
        <v>150</v>
      </c>
      <c r="G351">
        <v>41</v>
      </c>
      <c r="H351">
        <v>40</v>
      </c>
      <c r="I351">
        <v>8.1999999999999993</v>
      </c>
      <c r="J351">
        <v>15</v>
      </c>
      <c r="K351" t="s">
        <v>51</v>
      </c>
      <c r="L351">
        <v>0</v>
      </c>
      <c r="M351" t="s">
        <v>34</v>
      </c>
      <c r="N351">
        <v>39</v>
      </c>
      <c r="O351">
        <v>38</v>
      </c>
      <c r="P351">
        <v>2.7</v>
      </c>
      <c r="Q351">
        <v>0</v>
      </c>
      <c r="R351">
        <v>20</v>
      </c>
      <c r="S351">
        <v>1</v>
      </c>
      <c r="T351">
        <v>3</v>
      </c>
      <c r="U351">
        <v>0</v>
      </c>
      <c r="V351" t="s">
        <v>35</v>
      </c>
      <c r="W351">
        <v>0</v>
      </c>
      <c r="X351">
        <v>0.97435897435897401</v>
      </c>
      <c r="Y351">
        <v>0</v>
      </c>
      <c r="Z351">
        <v>2.7333333333333298</v>
      </c>
      <c r="AA351">
        <v>5</v>
      </c>
      <c r="AB351">
        <v>1</v>
      </c>
      <c r="AC351">
        <v>3.6937500000000001</v>
      </c>
    </row>
    <row r="352" spans="1:29" x14ac:dyDescent="0.35">
      <c r="A352" t="s">
        <v>432</v>
      </c>
      <c r="B352" t="s">
        <v>60</v>
      </c>
      <c r="C352" s="1">
        <v>45713</v>
      </c>
      <c r="D352" t="s">
        <v>44</v>
      </c>
      <c r="E352" s="2">
        <v>0.40625</v>
      </c>
      <c r="F352" t="s">
        <v>61</v>
      </c>
      <c r="G352">
        <v>66</v>
      </c>
      <c r="H352">
        <v>60</v>
      </c>
      <c r="I352">
        <v>12.5</v>
      </c>
      <c r="J352">
        <v>22</v>
      </c>
      <c r="K352" t="s">
        <v>51</v>
      </c>
      <c r="L352">
        <v>0</v>
      </c>
      <c r="M352" t="s">
        <v>34</v>
      </c>
      <c r="N352">
        <v>28</v>
      </c>
      <c r="O352">
        <v>28</v>
      </c>
      <c r="P352">
        <v>4.5</v>
      </c>
      <c r="Q352">
        <v>0</v>
      </c>
      <c r="R352">
        <v>9</v>
      </c>
      <c r="S352">
        <v>2</v>
      </c>
      <c r="T352">
        <v>1</v>
      </c>
      <c r="U352">
        <v>0</v>
      </c>
      <c r="V352" t="s">
        <v>47</v>
      </c>
      <c r="W352">
        <v>0</v>
      </c>
      <c r="X352">
        <v>1</v>
      </c>
      <c r="Y352">
        <v>0</v>
      </c>
      <c r="Z352">
        <v>3</v>
      </c>
      <c r="AA352">
        <v>5.28</v>
      </c>
      <c r="AB352">
        <v>6</v>
      </c>
      <c r="AC352">
        <v>3.4760869565217298</v>
      </c>
    </row>
    <row r="353" spans="1:29" x14ac:dyDescent="0.35">
      <c r="A353" t="s">
        <v>433</v>
      </c>
      <c r="B353" t="s">
        <v>72</v>
      </c>
      <c r="C353" s="1">
        <v>45704</v>
      </c>
      <c r="D353" t="s">
        <v>31</v>
      </c>
      <c r="E353" s="2">
        <v>0.72916666666666663</v>
      </c>
      <c r="F353" t="s">
        <v>32</v>
      </c>
      <c r="G353">
        <v>50</v>
      </c>
      <c r="H353">
        <v>44</v>
      </c>
      <c r="I353">
        <v>11.6</v>
      </c>
      <c r="J353">
        <v>21</v>
      </c>
      <c r="K353" t="s">
        <v>33</v>
      </c>
      <c r="L353">
        <v>0</v>
      </c>
      <c r="M353" t="s">
        <v>34</v>
      </c>
      <c r="N353">
        <v>19</v>
      </c>
      <c r="O353">
        <v>19</v>
      </c>
      <c r="P353">
        <v>2.2000000000000002</v>
      </c>
      <c r="Q353">
        <v>0</v>
      </c>
      <c r="R353">
        <v>17</v>
      </c>
      <c r="S353">
        <v>2</v>
      </c>
      <c r="T353">
        <v>6</v>
      </c>
      <c r="U353">
        <v>1</v>
      </c>
      <c r="V353" t="s">
        <v>41</v>
      </c>
      <c r="W353">
        <v>0</v>
      </c>
      <c r="X353">
        <v>1</v>
      </c>
      <c r="Y353">
        <v>0</v>
      </c>
      <c r="Z353">
        <v>2.38095238095238</v>
      </c>
      <c r="AA353">
        <v>4.3103448275862002</v>
      </c>
      <c r="AB353">
        <v>6</v>
      </c>
      <c r="AC353">
        <v>2.80217391304347</v>
      </c>
    </row>
    <row r="354" spans="1:29" x14ac:dyDescent="0.35">
      <c r="A354" t="s">
        <v>434</v>
      </c>
      <c r="B354" t="s">
        <v>57</v>
      </c>
      <c r="C354" s="1">
        <v>45674</v>
      </c>
      <c r="D354" t="s">
        <v>38</v>
      </c>
      <c r="E354" s="2">
        <v>0.72916666666666663</v>
      </c>
      <c r="F354" t="s">
        <v>100</v>
      </c>
      <c r="G354">
        <v>110</v>
      </c>
      <c r="H354">
        <v>96</v>
      </c>
      <c r="I354">
        <v>14.2</v>
      </c>
      <c r="J354">
        <v>25</v>
      </c>
      <c r="K354" t="s">
        <v>46</v>
      </c>
      <c r="L354">
        <v>0</v>
      </c>
      <c r="M354" t="s">
        <v>34</v>
      </c>
      <c r="N354">
        <v>32</v>
      </c>
      <c r="O354">
        <v>28</v>
      </c>
      <c r="P354">
        <v>6.7</v>
      </c>
      <c r="Q354">
        <v>1</v>
      </c>
      <c r="R354">
        <v>17</v>
      </c>
      <c r="S354">
        <v>1</v>
      </c>
      <c r="T354">
        <v>4</v>
      </c>
      <c r="U354">
        <v>0</v>
      </c>
      <c r="V354" t="s">
        <v>41</v>
      </c>
      <c r="W354">
        <v>0</v>
      </c>
      <c r="X354">
        <v>0.875</v>
      </c>
      <c r="Y354">
        <v>1</v>
      </c>
      <c r="Z354">
        <v>4.4000000000000004</v>
      </c>
      <c r="AA354">
        <v>7.7464788732394299</v>
      </c>
      <c r="AB354">
        <v>14</v>
      </c>
      <c r="AC354">
        <v>8.3255319148936096</v>
      </c>
    </row>
    <row r="355" spans="1:29" x14ac:dyDescent="0.35">
      <c r="A355" t="s">
        <v>435</v>
      </c>
      <c r="B355" t="s">
        <v>43</v>
      </c>
      <c r="C355" s="1">
        <v>45695</v>
      </c>
      <c r="D355" t="s">
        <v>38</v>
      </c>
      <c r="E355" s="2">
        <v>0.30208333333333331</v>
      </c>
      <c r="F355" t="s">
        <v>80</v>
      </c>
      <c r="G355">
        <v>115</v>
      </c>
      <c r="H355">
        <v>105</v>
      </c>
      <c r="I355">
        <v>18.399999999999999</v>
      </c>
      <c r="J355">
        <v>32</v>
      </c>
      <c r="K355" t="s">
        <v>46</v>
      </c>
      <c r="L355">
        <v>0</v>
      </c>
      <c r="M355" t="s">
        <v>34</v>
      </c>
      <c r="N355">
        <v>36</v>
      </c>
      <c r="O355">
        <v>29</v>
      </c>
      <c r="P355">
        <v>8.3000000000000007</v>
      </c>
      <c r="Q355">
        <v>0</v>
      </c>
      <c r="R355">
        <v>7</v>
      </c>
      <c r="S355">
        <v>2</v>
      </c>
      <c r="T355">
        <v>4</v>
      </c>
      <c r="U355">
        <v>0</v>
      </c>
      <c r="V355" t="s">
        <v>47</v>
      </c>
      <c r="W355">
        <v>0</v>
      </c>
      <c r="X355">
        <v>0.80555555555555503</v>
      </c>
      <c r="Y355">
        <v>1</v>
      </c>
      <c r="Z355">
        <v>3.59375</v>
      </c>
      <c r="AA355">
        <v>6.25</v>
      </c>
      <c r="AB355">
        <v>10</v>
      </c>
      <c r="AC355">
        <v>8.6013888888888896</v>
      </c>
    </row>
    <row r="356" spans="1:29" x14ac:dyDescent="0.35">
      <c r="A356" t="s">
        <v>436</v>
      </c>
      <c r="B356" t="s">
        <v>72</v>
      </c>
      <c r="C356" s="1">
        <v>45716</v>
      </c>
      <c r="D356" t="s">
        <v>38</v>
      </c>
      <c r="E356" s="2">
        <v>0.48958333333333331</v>
      </c>
      <c r="F356" t="s">
        <v>97</v>
      </c>
      <c r="G356">
        <v>51</v>
      </c>
      <c r="H356">
        <v>50</v>
      </c>
      <c r="I356">
        <v>11.6</v>
      </c>
      <c r="J356">
        <v>21</v>
      </c>
      <c r="K356" t="s">
        <v>33</v>
      </c>
      <c r="L356">
        <v>0</v>
      </c>
      <c r="M356" t="s">
        <v>34</v>
      </c>
      <c r="N356">
        <v>27</v>
      </c>
      <c r="O356">
        <v>27</v>
      </c>
      <c r="P356">
        <v>1.4</v>
      </c>
      <c r="Q356">
        <v>0</v>
      </c>
      <c r="R356">
        <v>11</v>
      </c>
      <c r="S356">
        <v>2</v>
      </c>
      <c r="T356">
        <v>4</v>
      </c>
      <c r="U356">
        <v>0</v>
      </c>
      <c r="V356" t="s">
        <v>35</v>
      </c>
      <c r="W356">
        <v>0</v>
      </c>
      <c r="X356">
        <v>1</v>
      </c>
      <c r="Y356">
        <v>0</v>
      </c>
      <c r="Z356">
        <v>2.4285714285714199</v>
      </c>
      <c r="AA356">
        <v>4.3965517241379297</v>
      </c>
      <c r="AB356">
        <v>1</v>
      </c>
      <c r="AC356">
        <v>2.80217391304347</v>
      </c>
    </row>
    <row r="357" spans="1:29" x14ac:dyDescent="0.35">
      <c r="A357" t="s">
        <v>437</v>
      </c>
      <c r="B357" t="s">
        <v>60</v>
      </c>
      <c r="C357" s="1">
        <v>45670</v>
      </c>
      <c r="D357" t="s">
        <v>87</v>
      </c>
      <c r="E357" s="2">
        <v>0.6875</v>
      </c>
      <c r="F357" t="s">
        <v>39</v>
      </c>
      <c r="G357">
        <v>56</v>
      </c>
      <c r="H357">
        <v>49</v>
      </c>
      <c r="I357">
        <v>12.5</v>
      </c>
      <c r="J357">
        <v>22</v>
      </c>
      <c r="K357" t="s">
        <v>51</v>
      </c>
      <c r="L357">
        <v>0</v>
      </c>
      <c r="M357" t="s">
        <v>34</v>
      </c>
      <c r="N357">
        <v>36</v>
      </c>
      <c r="O357">
        <v>34</v>
      </c>
      <c r="P357">
        <v>1.2</v>
      </c>
      <c r="Q357">
        <v>0</v>
      </c>
      <c r="R357">
        <v>16</v>
      </c>
      <c r="S357">
        <v>1</v>
      </c>
      <c r="T357">
        <v>0</v>
      </c>
      <c r="U357">
        <v>0</v>
      </c>
      <c r="V357" t="s">
        <v>35</v>
      </c>
      <c r="W357">
        <v>0</v>
      </c>
      <c r="X357">
        <v>0.94444444444444398</v>
      </c>
      <c r="Y357">
        <v>0</v>
      </c>
      <c r="Z357">
        <v>2.5454545454545401</v>
      </c>
      <c r="AA357">
        <v>4.4800000000000004</v>
      </c>
      <c r="AB357">
        <v>7</v>
      </c>
      <c r="AC357">
        <v>3.4760869565217298</v>
      </c>
    </row>
    <row r="358" spans="1:29" x14ac:dyDescent="0.35">
      <c r="A358" t="s">
        <v>438</v>
      </c>
      <c r="B358" t="s">
        <v>106</v>
      </c>
      <c r="C358" s="1">
        <v>45661</v>
      </c>
      <c r="D358" t="s">
        <v>50</v>
      </c>
      <c r="E358" s="2">
        <v>0.78125</v>
      </c>
      <c r="F358" t="s">
        <v>45</v>
      </c>
      <c r="G358">
        <v>75</v>
      </c>
      <c r="H358">
        <v>69</v>
      </c>
      <c r="I358">
        <v>15</v>
      </c>
      <c r="J358">
        <v>28</v>
      </c>
      <c r="K358" t="s">
        <v>40</v>
      </c>
      <c r="L358">
        <v>0</v>
      </c>
      <c r="M358" t="s">
        <v>34</v>
      </c>
      <c r="N358">
        <v>19</v>
      </c>
      <c r="O358">
        <v>16</v>
      </c>
      <c r="P358">
        <v>11.1</v>
      </c>
      <c r="Q358">
        <v>0</v>
      </c>
      <c r="R358">
        <v>18</v>
      </c>
      <c r="S358">
        <v>1</v>
      </c>
      <c r="T358">
        <v>5</v>
      </c>
      <c r="U358">
        <v>1</v>
      </c>
      <c r="V358" t="s">
        <v>41</v>
      </c>
      <c r="W358">
        <v>0</v>
      </c>
      <c r="X358">
        <v>0.84210526315789402</v>
      </c>
      <c r="Y358">
        <v>1</v>
      </c>
      <c r="Z358">
        <v>2.6785714285714199</v>
      </c>
      <c r="AA358">
        <v>5</v>
      </c>
      <c r="AB358">
        <v>6</v>
      </c>
      <c r="AC358">
        <v>9.4749999999999996</v>
      </c>
    </row>
    <row r="359" spans="1:29" x14ac:dyDescent="0.35">
      <c r="A359" t="s">
        <v>439</v>
      </c>
      <c r="B359" t="s">
        <v>49</v>
      </c>
      <c r="C359" s="1">
        <v>45693</v>
      </c>
      <c r="D359" t="s">
        <v>78</v>
      </c>
      <c r="E359" s="2">
        <v>0.26041666666666669</v>
      </c>
      <c r="F359" t="s">
        <v>97</v>
      </c>
      <c r="G359">
        <v>31</v>
      </c>
      <c r="H359">
        <v>27</v>
      </c>
      <c r="I359">
        <v>8.1999999999999993</v>
      </c>
      <c r="J359">
        <v>15</v>
      </c>
      <c r="K359" t="s">
        <v>51</v>
      </c>
      <c r="L359">
        <v>0</v>
      </c>
      <c r="M359" t="s">
        <v>34</v>
      </c>
      <c r="N359">
        <v>27</v>
      </c>
      <c r="O359">
        <v>26</v>
      </c>
      <c r="P359">
        <v>0.8</v>
      </c>
      <c r="Q359">
        <v>0</v>
      </c>
      <c r="R359">
        <v>6</v>
      </c>
      <c r="S359">
        <v>2</v>
      </c>
      <c r="T359">
        <v>2</v>
      </c>
      <c r="U359">
        <v>0</v>
      </c>
      <c r="V359" t="s">
        <v>35</v>
      </c>
      <c r="W359">
        <v>0</v>
      </c>
      <c r="X359">
        <v>0.96296296296296202</v>
      </c>
      <c r="Y359">
        <v>0</v>
      </c>
      <c r="Z359">
        <v>2.0666666666666602</v>
      </c>
      <c r="AA359">
        <v>3.7804878048780401</v>
      </c>
      <c r="AB359">
        <v>4</v>
      </c>
      <c r="AC359">
        <v>3.6937500000000001</v>
      </c>
    </row>
    <row r="360" spans="1:29" x14ac:dyDescent="0.35">
      <c r="A360" t="s">
        <v>440</v>
      </c>
      <c r="B360" t="s">
        <v>106</v>
      </c>
      <c r="C360" s="1">
        <v>45691</v>
      </c>
      <c r="D360" t="s">
        <v>87</v>
      </c>
      <c r="E360" s="2">
        <v>0.39583333333333331</v>
      </c>
      <c r="F360" t="s">
        <v>89</v>
      </c>
      <c r="G360">
        <v>119</v>
      </c>
      <c r="H360">
        <v>110</v>
      </c>
      <c r="I360">
        <v>15</v>
      </c>
      <c r="J360">
        <v>28</v>
      </c>
      <c r="K360" t="s">
        <v>40</v>
      </c>
      <c r="L360">
        <v>0</v>
      </c>
      <c r="M360" t="s">
        <v>34</v>
      </c>
      <c r="N360">
        <v>27</v>
      </c>
      <c r="O360">
        <v>23</v>
      </c>
      <c r="P360">
        <v>9.5</v>
      </c>
      <c r="Q360">
        <v>0</v>
      </c>
      <c r="R360">
        <v>9</v>
      </c>
      <c r="S360">
        <v>2</v>
      </c>
      <c r="T360">
        <v>0</v>
      </c>
      <c r="U360">
        <v>0</v>
      </c>
      <c r="V360" t="s">
        <v>47</v>
      </c>
      <c r="W360">
        <v>0</v>
      </c>
      <c r="X360">
        <v>0.85185185185185097</v>
      </c>
      <c r="Y360">
        <v>1</v>
      </c>
      <c r="Z360">
        <v>4.25</v>
      </c>
      <c r="AA360">
        <v>7.93333333333333</v>
      </c>
      <c r="AB360">
        <v>9</v>
      </c>
      <c r="AC360">
        <v>9.4749999999999996</v>
      </c>
    </row>
    <row r="361" spans="1:29" x14ac:dyDescent="0.35">
      <c r="A361" t="s">
        <v>441</v>
      </c>
      <c r="B361" t="s">
        <v>106</v>
      </c>
      <c r="C361" s="1">
        <v>45717</v>
      </c>
      <c r="D361" t="s">
        <v>50</v>
      </c>
      <c r="E361" s="2">
        <v>0.92708333333333337</v>
      </c>
      <c r="F361" t="s">
        <v>84</v>
      </c>
      <c r="G361">
        <v>40</v>
      </c>
      <c r="H361">
        <v>38</v>
      </c>
      <c r="I361">
        <v>15</v>
      </c>
      <c r="J361">
        <v>28</v>
      </c>
      <c r="K361" t="s">
        <v>40</v>
      </c>
      <c r="L361">
        <v>0</v>
      </c>
      <c r="M361" t="s">
        <v>34</v>
      </c>
      <c r="N361">
        <v>21</v>
      </c>
      <c r="O361">
        <v>20</v>
      </c>
      <c r="P361">
        <v>10.6</v>
      </c>
      <c r="Q361">
        <v>0</v>
      </c>
      <c r="R361">
        <v>22</v>
      </c>
      <c r="S361">
        <v>3</v>
      </c>
      <c r="T361">
        <v>5</v>
      </c>
      <c r="U361">
        <v>1</v>
      </c>
      <c r="V361" t="s">
        <v>35</v>
      </c>
      <c r="W361">
        <v>0</v>
      </c>
      <c r="X361">
        <v>0.952380952380952</v>
      </c>
      <c r="Y361">
        <v>1</v>
      </c>
      <c r="Z361">
        <v>1.4285714285714199</v>
      </c>
      <c r="AA361">
        <v>2.6666666666666599</v>
      </c>
      <c r="AB361">
        <v>2</v>
      </c>
      <c r="AC361">
        <v>9.4749999999999996</v>
      </c>
    </row>
    <row r="362" spans="1:29" x14ac:dyDescent="0.35">
      <c r="A362" t="s">
        <v>442</v>
      </c>
      <c r="B362" t="s">
        <v>43</v>
      </c>
      <c r="C362" s="1">
        <v>45690</v>
      </c>
      <c r="D362" t="s">
        <v>31</v>
      </c>
      <c r="E362" s="2">
        <v>0.67708333333333337</v>
      </c>
      <c r="F362" t="s">
        <v>45</v>
      </c>
      <c r="G362">
        <v>43</v>
      </c>
      <c r="H362">
        <v>38</v>
      </c>
      <c r="I362">
        <v>18.399999999999999</v>
      </c>
      <c r="J362">
        <v>32</v>
      </c>
      <c r="K362" t="s">
        <v>46</v>
      </c>
      <c r="L362">
        <v>0</v>
      </c>
      <c r="M362" t="s">
        <v>34</v>
      </c>
      <c r="N362">
        <v>22</v>
      </c>
      <c r="O362">
        <v>20</v>
      </c>
      <c r="P362">
        <v>14.2</v>
      </c>
      <c r="Q362">
        <v>0</v>
      </c>
      <c r="R362">
        <v>16</v>
      </c>
      <c r="S362">
        <v>2</v>
      </c>
      <c r="T362">
        <v>6</v>
      </c>
      <c r="U362">
        <v>1</v>
      </c>
      <c r="V362" t="s">
        <v>35</v>
      </c>
      <c r="W362">
        <v>0</v>
      </c>
      <c r="X362">
        <v>0.90909090909090895</v>
      </c>
      <c r="Y362">
        <v>1</v>
      </c>
      <c r="Z362">
        <v>1.34375</v>
      </c>
      <c r="AA362">
        <v>2.3369565217391299</v>
      </c>
      <c r="AB362">
        <v>5</v>
      </c>
      <c r="AC362">
        <v>8.6013888888888896</v>
      </c>
    </row>
    <row r="363" spans="1:29" x14ac:dyDescent="0.35">
      <c r="A363" t="s">
        <v>443</v>
      </c>
      <c r="B363" t="s">
        <v>102</v>
      </c>
      <c r="C363" s="1">
        <v>45662</v>
      </c>
      <c r="D363" t="s">
        <v>31</v>
      </c>
      <c r="E363" s="2">
        <v>0.29166666666666669</v>
      </c>
      <c r="F363" t="s">
        <v>110</v>
      </c>
      <c r="G363">
        <v>43</v>
      </c>
      <c r="H363">
        <v>43</v>
      </c>
      <c r="I363">
        <v>7.3</v>
      </c>
      <c r="J363">
        <v>13</v>
      </c>
      <c r="K363" t="s">
        <v>66</v>
      </c>
      <c r="L363">
        <v>0</v>
      </c>
      <c r="M363" t="s">
        <v>34</v>
      </c>
      <c r="N363">
        <v>30</v>
      </c>
      <c r="O363">
        <v>29</v>
      </c>
      <c r="P363">
        <v>6.2</v>
      </c>
      <c r="Q363">
        <v>0</v>
      </c>
      <c r="R363">
        <v>7</v>
      </c>
      <c r="S363">
        <v>1</v>
      </c>
      <c r="T363">
        <v>6</v>
      </c>
      <c r="U363">
        <v>1</v>
      </c>
      <c r="V363" t="s">
        <v>47</v>
      </c>
      <c r="W363">
        <v>0</v>
      </c>
      <c r="X363">
        <v>0.96666666666666601</v>
      </c>
      <c r="Y363">
        <v>1</v>
      </c>
      <c r="Z363">
        <v>3.3076923076922999</v>
      </c>
      <c r="AA363">
        <v>5.89041095890411</v>
      </c>
      <c r="AB363">
        <v>0</v>
      </c>
      <c r="AC363">
        <v>4.0518518518518496</v>
      </c>
    </row>
    <row r="364" spans="1:29" x14ac:dyDescent="0.35">
      <c r="A364" t="s">
        <v>444</v>
      </c>
      <c r="B364" t="s">
        <v>37</v>
      </c>
      <c r="C364" s="1">
        <v>45671</v>
      </c>
      <c r="D364" t="s">
        <v>44</v>
      </c>
      <c r="E364" s="2">
        <v>0.375</v>
      </c>
      <c r="F364" t="s">
        <v>61</v>
      </c>
      <c r="G364">
        <v>66</v>
      </c>
      <c r="H364">
        <v>65</v>
      </c>
      <c r="I364">
        <v>9.5</v>
      </c>
      <c r="J364">
        <v>17</v>
      </c>
      <c r="K364" t="s">
        <v>40</v>
      </c>
      <c r="L364">
        <v>1</v>
      </c>
      <c r="M364" t="s">
        <v>34</v>
      </c>
      <c r="N364">
        <v>24</v>
      </c>
      <c r="O364">
        <v>23</v>
      </c>
      <c r="P364">
        <v>4.0999999999999996</v>
      </c>
      <c r="Q364">
        <v>1</v>
      </c>
      <c r="R364">
        <v>9</v>
      </c>
      <c r="S364">
        <v>1</v>
      </c>
      <c r="T364">
        <v>1</v>
      </c>
      <c r="U364">
        <v>0</v>
      </c>
      <c r="V364" t="s">
        <v>47</v>
      </c>
      <c r="W364">
        <v>0</v>
      </c>
      <c r="X364">
        <v>0.95833333333333304</v>
      </c>
      <c r="Y364">
        <v>0</v>
      </c>
      <c r="Z364">
        <v>3.8823529411764701</v>
      </c>
      <c r="AA364">
        <v>6.9473684210526301</v>
      </c>
      <c r="AB364">
        <v>1</v>
      </c>
      <c r="AC364">
        <v>3.8470588235294101</v>
      </c>
    </row>
    <row r="365" spans="1:29" x14ac:dyDescent="0.35">
      <c r="A365" t="s">
        <v>445</v>
      </c>
      <c r="B365" t="s">
        <v>57</v>
      </c>
      <c r="C365" s="1">
        <v>45674</v>
      </c>
      <c r="D365" t="s">
        <v>38</v>
      </c>
      <c r="E365" s="2">
        <v>0.65625</v>
      </c>
      <c r="F365" t="s">
        <v>39</v>
      </c>
      <c r="G365">
        <v>57</v>
      </c>
      <c r="H365">
        <v>53</v>
      </c>
      <c r="I365">
        <v>14.2</v>
      </c>
      <c r="J365">
        <v>25</v>
      </c>
      <c r="K365" t="s">
        <v>46</v>
      </c>
      <c r="L365">
        <v>0</v>
      </c>
      <c r="M365" t="s">
        <v>34</v>
      </c>
      <c r="N365">
        <v>32</v>
      </c>
      <c r="O365">
        <v>28</v>
      </c>
      <c r="P365">
        <v>6.7</v>
      </c>
      <c r="Q365">
        <v>1</v>
      </c>
      <c r="R365">
        <v>15</v>
      </c>
      <c r="S365">
        <v>1</v>
      </c>
      <c r="T365">
        <v>4</v>
      </c>
      <c r="U365">
        <v>0</v>
      </c>
      <c r="V365" t="s">
        <v>35</v>
      </c>
      <c r="W365">
        <v>0</v>
      </c>
      <c r="X365">
        <v>0.875</v>
      </c>
      <c r="Y365">
        <v>1</v>
      </c>
      <c r="Z365">
        <v>2.2799999999999998</v>
      </c>
      <c r="AA365">
        <v>4.0140845070422504</v>
      </c>
      <c r="AB365">
        <v>4</v>
      </c>
      <c r="AC365">
        <v>8.3255319148936096</v>
      </c>
    </row>
    <row r="366" spans="1:29" x14ac:dyDescent="0.35">
      <c r="A366" t="s">
        <v>446</v>
      </c>
      <c r="B366" t="s">
        <v>60</v>
      </c>
      <c r="C366" s="1">
        <v>45682</v>
      </c>
      <c r="D366" t="s">
        <v>50</v>
      </c>
      <c r="E366" s="2">
        <v>0.80208333333333337</v>
      </c>
      <c r="F366" t="s">
        <v>68</v>
      </c>
      <c r="G366">
        <v>89</v>
      </c>
      <c r="H366">
        <v>86</v>
      </c>
      <c r="I366">
        <v>12.5</v>
      </c>
      <c r="J366">
        <v>22</v>
      </c>
      <c r="K366" t="s">
        <v>51</v>
      </c>
      <c r="L366">
        <v>0</v>
      </c>
      <c r="M366" t="s">
        <v>69</v>
      </c>
      <c r="N366">
        <v>19</v>
      </c>
      <c r="O366">
        <v>18</v>
      </c>
      <c r="P366">
        <v>0.9</v>
      </c>
      <c r="Q366">
        <v>0</v>
      </c>
      <c r="R366">
        <v>19</v>
      </c>
      <c r="S366">
        <v>1</v>
      </c>
      <c r="T366">
        <v>5</v>
      </c>
      <c r="U366">
        <v>1</v>
      </c>
      <c r="V366" t="s">
        <v>41</v>
      </c>
      <c r="W366">
        <v>1</v>
      </c>
      <c r="X366">
        <v>0.94736842105263097</v>
      </c>
      <c r="Y366">
        <v>0</v>
      </c>
      <c r="Z366">
        <v>4.0454545454545396</v>
      </c>
      <c r="AA366">
        <v>7.12</v>
      </c>
      <c r="AB366">
        <v>3</v>
      </c>
      <c r="AC366">
        <v>3.4760869565217298</v>
      </c>
    </row>
    <row r="367" spans="1:29" x14ac:dyDescent="0.35">
      <c r="A367" t="s">
        <v>447</v>
      </c>
      <c r="B367" t="s">
        <v>43</v>
      </c>
      <c r="C367" s="1">
        <v>45672</v>
      </c>
      <c r="D367" t="s">
        <v>78</v>
      </c>
      <c r="E367" s="2">
        <v>0.36458333333333331</v>
      </c>
      <c r="F367" t="s">
        <v>68</v>
      </c>
      <c r="G367">
        <v>96</v>
      </c>
      <c r="H367">
        <v>86</v>
      </c>
      <c r="I367">
        <v>18.399999999999999</v>
      </c>
      <c r="J367">
        <v>32</v>
      </c>
      <c r="K367" t="s">
        <v>46</v>
      </c>
      <c r="L367">
        <v>0</v>
      </c>
      <c r="M367" t="s">
        <v>34</v>
      </c>
      <c r="N367">
        <v>30</v>
      </c>
      <c r="O367">
        <v>26</v>
      </c>
      <c r="P367">
        <v>5.7</v>
      </c>
      <c r="Q367">
        <v>0</v>
      </c>
      <c r="R367">
        <v>8</v>
      </c>
      <c r="S367">
        <v>1</v>
      </c>
      <c r="T367">
        <v>2</v>
      </c>
      <c r="U367">
        <v>0</v>
      </c>
      <c r="V367" t="s">
        <v>47</v>
      </c>
      <c r="W367">
        <v>0</v>
      </c>
      <c r="X367">
        <v>0.86666666666666603</v>
      </c>
      <c r="Y367">
        <v>1</v>
      </c>
      <c r="Z367">
        <v>3</v>
      </c>
      <c r="AA367">
        <v>5.2173913043478199</v>
      </c>
      <c r="AB367">
        <v>10</v>
      </c>
      <c r="AC367">
        <v>8.6013888888888896</v>
      </c>
    </row>
    <row r="368" spans="1:29" x14ac:dyDescent="0.35">
      <c r="A368" t="s">
        <v>448</v>
      </c>
      <c r="B368" t="s">
        <v>106</v>
      </c>
      <c r="C368" s="1">
        <v>45717</v>
      </c>
      <c r="D368" t="s">
        <v>50</v>
      </c>
      <c r="E368" s="2">
        <v>0.77083333333333337</v>
      </c>
      <c r="F368" t="s">
        <v>39</v>
      </c>
      <c r="G368">
        <v>62</v>
      </c>
      <c r="H368">
        <v>60</v>
      </c>
      <c r="I368">
        <v>15</v>
      </c>
      <c r="J368">
        <v>28</v>
      </c>
      <c r="K368" t="s">
        <v>40</v>
      </c>
      <c r="L368">
        <v>0</v>
      </c>
      <c r="M368" t="s">
        <v>34</v>
      </c>
      <c r="N368">
        <v>21</v>
      </c>
      <c r="O368">
        <v>20</v>
      </c>
      <c r="P368">
        <v>10.6</v>
      </c>
      <c r="Q368">
        <v>0</v>
      </c>
      <c r="R368">
        <v>18</v>
      </c>
      <c r="S368">
        <v>3</v>
      </c>
      <c r="T368">
        <v>5</v>
      </c>
      <c r="U368">
        <v>1</v>
      </c>
      <c r="V368" t="s">
        <v>41</v>
      </c>
      <c r="W368">
        <v>0</v>
      </c>
      <c r="X368">
        <v>0.952380952380952</v>
      </c>
      <c r="Y368">
        <v>1</v>
      </c>
      <c r="Z368">
        <v>2.21428571428571</v>
      </c>
      <c r="AA368">
        <v>4.1333333333333302</v>
      </c>
      <c r="AB368">
        <v>2</v>
      </c>
      <c r="AC368">
        <v>9.4749999999999996</v>
      </c>
    </row>
    <row r="369" spans="1:29" x14ac:dyDescent="0.35">
      <c r="A369" t="s">
        <v>449</v>
      </c>
      <c r="B369" t="s">
        <v>60</v>
      </c>
      <c r="C369" s="1">
        <v>45703</v>
      </c>
      <c r="D369" t="s">
        <v>50</v>
      </c>
      <c r="E369" s="2">
        <v>0.85416666666666663</v>
      </c>
      <c r="F369" t="s">
        <v>82</v>
      </c>
      <c r="G369">
        <v>42</v>
      </c>
      <c r="H369">
        <v>38</v>
      </c>
      <c r="I369">
        <v>12.5</v>
      </c>
      <c r="J369">
        <v>22</v>
      </c>
      <c r="K369" t="s">
        <v>51</v>
      </c>
      <c r="L369">
        <v>0</v>
      </c>
      <c r="M369" t="s">
        <v>148</v>
      </c>
      <c r="N369">
        <v>24</v>
      </c>
      <c r="O369">
        <v>23</v>
      </c>
      <c r="P369">
        <v>4.2</v>
      </c>
      <c r="Q369">
        <v>0</v>
      </c>
      <c r="R369">
        <v>20</v>
      </c>
      <c r="S369">
        <v>2</v>
      </c>
      <c r="T369">
        <v>5</v>
      </c>
      <c r="U369">
        <v>1</v>
      </c>
      <c r="V369" t="s">
        <v>35</v>
      </c>
      <c r="W369">
        <v>1</v>
      </c>
      <c r="X369">
        <v>0.95833333333333304</v>
      </c>
      <c r="Y369">
        <v>0</v>
      </c>
      <c r="Z369">
        <v>1.9090909090909001</v>
      </c>
      <c r="AA369">
        <v>3.36</v>
      </c>
      <c r="AB369">
        <v>4</v>
      </c>
      <c r="AC369">
        <v>3.4760869565217298</v>
      </c>
    </row>
    <row r="370" spans="1:29" x14ac:dyDescent="0.35">
      <c r="A370" t="s">
        <v>450</v>
      </c>
      <c r="B370" t="s">
        <v>30</v>
      </c>
      <c r="C370" s="1">
        <v>45659</v>
      </c>
      <c r="D370" t="s">
        <v>54</v>
      </c>
      <c r="E370" s="2">
        <v>0.39583333333333331</v>
      </c>
      <c r="F370" t="s">
        <v>61</v>
      </c>
      <c r="G370">
        <v>73</v>
      </c>
      <c r="H370">
        <v>72</v>
      </c>
      <c r="I370">
        <v>10.1</v>
      </c>
      <c r="J370">
        <v>19</v>
      </c>
      <c r="K370" t="s">
        <v>33</v>
      </c>
      <c r="L370">
        <v>0</v>
      </c>
      <c r="M370" t="s">
        <v>34</v>
      </c>
      <c r="N370">
        <v>30</v>
      </c>
      <c r="O370">
        <v>30</v>
      </c>
      <c r="P370">
        <v>3.3</v>
      </c>
      <c r="Q370">
        <v>1</v>
      </c>
      <c r="R370">
        <v>9</v>
      </c>
      <c r="S370">
        <v>1</v>
      </c>
      <c r="T370">
        <v>3</v>
      </c>
      <c r="U370">
        <v>0</v>
      </c>
      <c r="V370" t="s">
        <v>47</v>
      </c>
      <c r="W370">
        <v>0</v>
      </c>
      <c r="X370">
        <v>1</v>
      </c>
      <c r="Y370">
        <v>0</v>
      </c>
      <c r="Z370">
        <v>3.8421052631578898</v>
      </c>
      <c r="AA370">
        <v>7.2277227722772199</v>
      </c>
      <c r="AB370">
        <v>1</v>
      </c>
      <c r="AC370">
        <v>3.6613636363636299</v>
      </c>
    </row>
    <row r="371" spans="1:29" x14ac:dyDescent="0.35">
      <c r="A371" t="s">
        <v>451</v>
      </c>
      <c r="B371" t="s">
        <v>106</v>
      </c>
      <c r="C371" s="1">
        <v>45694</v>
      </c>
      <c r="D371" t="s">
        <v>54</v>
      </c>
      <c r="E371" s="2">
        <v>0.47916666666666669</v>
      </c>
      <c r="F371" t="s">
        <v>39</v>
      </c>
      <c r="G371">
        <v>47</v>
      </c>
      <c r="H371">
        <v>43</v>
      </c>
      <c r="I371">
        <v>15</v>
      </c>
      <c r="J371">
        <v>28</v>
      </c>
      <c r="K371" t="s">
        <v>40</v>
      </c>
      <c r="L371">
        <v>0</v>
      </c>
      <c r="M371" t="s">
        <v>34</v>
      </c>
      <c r="N371">
        <v>34</v>
      </c>
      <c r="O371">
        <v>32</v>
      </c>
      <c r="P371">
        <v>10.3</v>
      </c>
      <c r="Q371">
        <v>0</v>
      </c>
      <c r="R371">
        <v>11</v>
      </c>
      <c r="S371">
        <v>2</v>
      </c>
      <c r="T371">
        <v>3</v>
      </c>
      <c r="U371">
        <v>0</v>
      </c>
      <c r="V371" t="s">
        <v>35</v>
      </c>
      <c r="W371">
        <v>0</v>
      </c>
      <c r="X371">
        <v>0.94117647058823495</v>
      </c>
      <c r="Y371">
        <v>1</v>
      </c>
      <c r="Z371">
        <v>1.6785714285714199</v>
      </c>
      <c r="AA371">
        <v>3.1333333333333302</v>
      </c>
      <c r="AB371">
        <v>4</v>
      </c>
      <c r="AC371">
        <v>9.4749999999999996</v>
      </c>
    </row>
    <row r="372" spans="1:29" x14ac:dyDescent="0.35">
      <c r="A372" t="s">
        <v>452</v>
      </c>
      <c r="B372" t="s">
        <v>72</v>
      </c>
      <c r="C372" s="1">
        <v>45662</v>
      </c>
      <c r="D372" t="s">
        <v>31</v>
      </c>
      <c r="E372" s="2">
        <v>0.66666666666666663</v>
      </c>
      <c r="F372" t="s">
        <v>89</v>
      </c>
      <c r="G372">
        <v>27</v>
      </c>
      <c r="H372">
        <v>23</v>
      </c>
      <c r="I372">
        <v>11.6</v>
      </c>
      <c r="J372">
        <v>21</v>
      </c>
      <c r="K372" t="s">
        <v>33</v>
      </c>
      <c r="L372">
        <v>0</v>
      </c>
      <c r="M372" t="s">
        <v>34</v>
      </c>
      <c r="N372">
        <v>29</v>
      </c>
      <c r="O372">
        <v>28</v>
      </c>
      <c r="P372">
        <v>1.2</v>
      </c>
      <c r="Q372">
        <v>0</v>
      </c>
      <c r="R372">
        <v>16</v>
      </c>
      <c r="S372">
        <v>1</v>
      </c>
      <c r="T372">
        <v>6</v>
      </c>
      <c r="U372">
        <v>1</v>
      </c>
      <c r="V372" t="s">
        <v>35</v>
      </c>
      <c r="W372">
        <v>0</v>
      </c>
      <c r="X372">
        <v>0.96551724137931005</v>
      </c>
      <c r="Y372">
        <v>0</v>
      </c>
      <c r="Z372">
        <v>1.28571428571428</v>
      </c>
      <c r="AA372">
        <v>2.3275862068965498</v>
      </c>
      <c r="AB372">
        <v>4</v>
      </c>
      <c r="AC372">
        <v>2.80217391304347</v>
      </c>
    </row>
    <row r="373" spans="1:29" x14ac:dyDescent="0.35">
      <c r="A373" t="s">
        <v>453</v>
      </c>
      <c r="B373" t="s">
        <v>106</v>
      </c>
      <c r="C373" s="1">
        <v>45694</v>
      </c>
      <c r="D373" t="s">
        <v>54</v>
      </c>
      <c r="E373" s="2">
        <v>0.27083333333333331</v>
      </c>
      <c r="F373" t="s">
        <v>39</v>
      </c>
      <c r="G373">
        <v>48</v>
      </c>
      <c r="H373">
        <v>43</v>
      </c>
      <c r="I373">
        <v>15</v>
      </c>
      <c r="J373">
        <v>28</v>
      </c>
      <c r="K373" t="s">
        <v>40</v>
      </c>
      <c r="L373">
        <v>0</v>
      </c>
      <c r="M373" t="s">
        <v>34</v>
      </c>
      <c r="N373">
        <v>34</v>
      </c>
      <c r="O373">
        <v>32</v>
      </c>
      <c r="P373">
        <v>10.3</v>
      </c>
      <c r="Q373">
        <v>0</v>
      </c>
      <c r="R373">
        <v>6</v>
      </c>
      <c r="S373">
        <v>2</v>
      </c>
      <c r="T373">
        <v>3</v>
      </c>
      <c r="U373">
        <v>0</v>
      </c>
      <c r="V373" t="s">
        <v>35</v>
      </c>
      <c r="W373">
        <v>0</v>
      </c>
      <c r="X373">
        <v>0.94117647058823495</v>
      </c>
      <c r="Y373">
        <v>1</v>
      </c>
      <c r="Z373">
        <v>1.71428571428571</v>
      </c>
      <c r="AA373">
        <v>3.2</v>
      </c>
      <c r="AB373">
        <v>5</v>
      </c>
      <c r="AC373">
        <v>9.4749999999999996</v>
      </c>
    </row>
    <row r="374" spans="1:29" x14ac:dyDescent="0.35">
      <c r="A374" t="s">
        <v>454</v>
      </c>
      <c r="B374" t="s">
        <v>57</v>
      </c>
      <c r="C374" s="1">
        <v>45676</v>
      </c>
      <c r="D374" t="s">
        <v>31</v>
      </c>
      <c r="E374" s="2">
        <v>0.625</v>
      </c>
      <c r="F374" t="s">
        <v>45</v>
      </c>
      <c r="G374">
        <v>26</v>
      </c>
      <c r="H374">
        <v>25</v>
      </c>
      <c r="I374">
        <v>14.2</v>
      </c>
      <c r="J374">
        <v>25</v>
      </c>
      <c r="K374" t="s">
        <v>46</v>
      </c>
      <c r="L374">
        <v>0</v>
      </c>
      <c r="M374" t="s">
        <v>34</v>
      </c>
      <c r="N374">
        <v>23</v>
      </c>
      <c r="O374">
        <v>21</v>
      </c>
      <c r="P374">
        <v>6.7</v>
      </c>
      <c r="Q374">
        <v>1</v>
      </c>
      <c r="R374">
        <v>15</v>
      </c>
      <c r="S374">
        <v>1</v>
      </c>
      <c r="T374">
        <v>6</v>
      </c>
      <c r="U374">
        <v>1</v>
      </c>
      <c r="V374" t="s">
        <v>35</v>
      </c>
      <c r="W374">
        <v>0</v>
      </c>
      <c r="X374">
        <v>0.91304347826086896</v>
      </c>
      <c r="Y374">
        <v>1</v>
      </c>
      <c r="Z374">
        <v>1.04</v>
      </c>
      <c r="AA374">
        <v>1.83098591549295</v>
      </c>
      <c r="AB374">
        <v>1</v>
      </c>
      <c r="AC374">
        <v>8.3255319148936096</v>
      </c>
    </row>
    <row r="375" spans="1:29" x14ac:dyDescent="0.35">
      <c r="A375" t="s">
        <v>455</v>
      </c>
      <c r="B375" t="s">
        <v>37</v>
      </c>
      <c r="C375" s="1">
        <v>45711</v>
      </c>
      <c r="D375" t="s">
        <v>31</v>
      </c>
      <c r="E375" s="2">
        <v>0.38541666666666669</v>
      </c>
      <c r="F375" t="s">
        <v>119</v>
      </c>
      <c r="G375">
        <v>47</v>
      </c>
      <c r="H375">
        <v>43</v>
      </c>
      <c r="I375">
        <v>9.5</v>
      </c>
      <c r="J375">
        <v>17</v>
      </c>
      <c r="K375" t="s">
        <v>40</v>
      </c>
      <c r="L375">
        <v>0</v>
      </c>
      <c r="M375" t="s">
        <v>34</v>
      </c>
      <c r="N375">
        <v>27</v>
      </c>
      <c r="O375">
        <v>26</v>
      </c>
      <c r="P375">
        <v>1.8</v>
      </c>
      <c r="Q375">
        <v>0</v>
      </c>
      <c r="R375">
        <v>9</v>
      </c>
      <c r="S375">
        <v>2</v>
      </c>
      <c r="T375">
        <v>6</v>
      </c>
      <c r="U375">
        <v>1</v>
      </c>
      <c r="V375" t="s">
        <v>47</v>
      </c>
      <c r="W375">
        <v>0</v>
      </c>
      <c r="X375">
        <v>0.96296296296296202</v>
      </c>
      <c r="Y375">
        <v>0</v>
      </c>
      <c r="Z375">
        <v>2.7647058823529398</v>
      </c>
      <c r="AA375">
        <v>4.9473684210526301</v>
      </c>
      <c r="AB375">
        <v>4</v>
      </c>
      <c r="AC375">
        <v>3.8470588235294101</v>
      </c>
    </row>
    <row r="376" spans="1:29" x14ac:dyDescent="0.35">
      <c r="A376" t="s">
        <v>456</v>
      </c>
      <c r="B376" t="s">
        <v>72</v>
      </c>
      <c r="C376" s="1">
        <v>45660</v>
      </c>
      <c r="D376" t="s">
        <v>38</v>
      </c>
      <c r="E376" s="2">
        <v>0.6875</v>
      </c>
      <c r="F376" t="s">
        <v>39</v>
      </c>
      <c r="G376">
        <v>54</v>
      </c>
      <c r="H376">
        <v>52</v>
      </c>
      <c r="I376">
        <v>11.6</v>
      </c>
      <c r="J376">
        <v>21</v>
      </c>
      <c r="K376" t="s">
        <v>33</v>
      </c>
      <c r="L376">
        <v>0</v>
      </c>
      <c r="M376" t="s">
        <v>34</v>
      </c>
      <c r="N376">
        <v>35</v>
      </c>
      <c r="O376">
        <v>34</v>
      </c>
      <c r="P376">
        <v>4.5999999999999996</v>
      </c>
      <c r="Q376">
        <v>0</v>
      </c>
      <c r="R376">
        <v>16</v>
      </c>
      <c r="S376">
        <v>1</v>
      </c>
      <c r="T376">
        <v>4</v>
      </c>
      <c r="U376">
        <v>0</v>
      </c>
      <c r="V376" t="s">
        <v>35</v>
      </c>
      <c r="W376">
        <v>0</v>
      </c>
      <c r="X376">
        <v>0.97142857142857097</v>
      </c>
      <c r="Y376">
        <v>0</v>
      </c>
      <c r="Z376">
        <v>2.5714285714285698</v>
      </c>
      <c r="AA376">
        <v>4.6551724137930997</v>
      </c>
      <c r="AB376">
        <v>2</v>
      </c>
      <c r="AC376">
        <v>2.80217391304347</v>
      </c>
    </row>
    <row r="377" spans="1:29" x14ac:dyDescent="0.35">
      <c r="A377" t="s">
        <v>457</v>
      </c>
      <c r="B377" t="s">
        <v>57</v>
      </c>
      <c r="C377" s="1">
        <v>45680</v>
      </c>
      <c r="D377" t="s">
        <v>54</v>
      </c>
      <c r="E377" s="2">
        <v>0.625</v>
      </c>
      <c r="F377" t="s">
        <v>45</v>
      </c>
      <c r="G377">
        <v>48</v>
      </c>
      <c r="H377">
        <v>43</v>
      </c>
      <c r="I377">
        <v>14.2</v>
      </c>
      <c r="J377">
        <v>25</v>
      </c>
      <c r="K377" t="s">
        <v>46</v>
      </c>
      <c r="L377">
        <v>0</v>
      </c>
      <c r="M377" t="s">
        <v>34</v>
      </c>
      <c r="N377">
        <v>20</v>
      </c>
      <c r="O377">
        <v>17</v>
      </c>
      <c r="P377">
        <v>5</v>
      </c>
      <c r="Q377">
        <v>0</v>
      </c>
      <c r="R377">
        <v>15</v>
      </c>
      <c r="S377">
        <v>1</v>
      </c>
      <c r="T377">
        <v>3</v>
      </c>
      <c r="U377">
        <v>0</v>
      </c>
      <c r="V377" t="s">
        <v>35</v>
      </c>
      <c r="W377">
        <v>0</v>
      </c>
      <c r="X377">
        <v>0.85</v>
      </c>
      <c r="Y377">
        <v>0</v>
      </c>
      <c r="Z377">
        <v>1.92</v>
      </c>
      <c r="AA377">
        <v>3.3802816901408401</v>
      </c>
      <c r="AB377">
        <v>5</v>
      </c>
      <c r="AC377">
        <v>8.3255319148936096</v>
      </c>
    </row>
    <row r="378" spans="1:29" x14ac:dyDescent="0.35">
      <c r="A378" t="s">
        <v>458</v>
      </c>
      <c r="B378" t="s">
        <v>106</v>
      </c>
      <c r="C378" s="1">
        <v>45711</v>
      </c>
      <c r="D378" t="s">
        <v>31</v>
      </c>
      <c r="E378" s="2">
        <v>0.6875</v>
      </c>
      <c r="F378" t="s">
        <v>68</v>
      </c>
      <c r="G378">
        <v>42</v>
      </c>
      <c r="H378">
        <v>41</v>
      </c>
      <c r="I378">
        <v>15</v>
      </c>
      <c r="J378">
        <v>28</v>
      </c>
      <c r="K378" t="s">
        <v>40</v>
      </c>
      <c r="L378">
        <v>0</v>
      </c>
      <c r="M378" t="s">
        <v>34</v>
      </c>
      <c r="N378">
        <v>19</v>
      </c>
      <c r="O378">
        <v>16</v>
      </c>
      <c r="P378">
        <v>6.2</v>
      </c>
      <c r="Q378">
        <v>0</v>
      </c>
      <c r="R378">
        <v>16</v>
      </c>
      <c r="S378">
        <v>2</v>
      </c>
      <c r="T378">
        <v>6</v>
      </c>
      <c r="U378">
        <v>1</v>
      </c>
      <c r="V378" t="s">
        <v>35</v>
      </c>
      <c r="W378">
        <v>0</v>
      </c>
      <c r="X378">
        <v>0.84210526315789402</v>
      </c>
      <c r="Y378">
        <v>1</v>
      </c>
      <c r="Z378">
        <v>1.5</v>
      </c>
      <c r="AA378">
        <v>2.8</v>
      </c>
      <c r="AB378">
        <v>1</v>
      </c>
      <c r="AC378">
        <v>9.4749999999999996</v>
      </c>
    </row>
    <row r="379" spans="1:29" x14ac:dyDescent="0.35">
      <c r="A379" t="s">
        <v>459</v>
      </c>
      <c r="B379" t="s">
        <v>43</v>
      </c>
      <c r="C379" s="1">
        <v>45712</v>
      </c>
      <c r="D379" t="s">
        <v>87</v>
      </c>
      <c r="E379" s="2">
        <v>0.69791666666666663</v>
      </c>
      <c r="F379" t="s">
        <v>39</v>
      </c>
      <c r="G379">
        <v>55</v>
      </c>
      <c r="H379">
        <v>53</v>
      </c>
      <c r="I379">
        <v>18.399999999999999</v>
      </c>
      <c r="J379">
        <v>32</v>
      </c>
      <c r="K379" t="s">
        <v>46</v>
      </c>
      <c r="L379">
        <v>0</v>
      </c>
      <c r="M379" t="s">
        <v>34</v>
      </c>
      <c r="N379">
        <v>30</v>
      </c>
      <c r="O379">
        <v>28</v>
      </c>
      <c r="P379">
        <v>18.8</v>
      </c>
      <c r="Q379">
        <v>0</v>
      </c>
      <c r="R379">
        <v>16</v>
      </c>
      <c r="S379">
        <v>2</v>
      </c>
      <c r="T379">
        <v>0</v>
      </c>
      <c r="U379">
        <v>0</v>
      </c>
      <c r="V379" t="s">
        <v>35</v>
      </c>
      <c r="W379">
        <v>0</v>
      </c>
      <c r="X379">
        <v>0.93333333333333302</v>
      </c>
      <c r="Y379">
        <v>1</v>
      </c>
      <c r="Z379">
        <v>1.71875</v>
      </c>
      <c r="AA379">
        <v>2.9891304347826</v>
      </c>
      <c r="AB379">
        <v>2</v>
      </c>
      <c r="AC379">
        <v>8.6013888888888896</v>
      </c>
    </row>
    <row r="380" spans="1:29" x14ac:dyDescent="0.35">
      <c r="A380" t="s">
        <v>460</v>
      </c>
      <c r="B380" t="s">
        <v>60</v>
      </c>
      <c r="C380" s="1">
        <v>45709</v>
      </c>
      <c r="D380" t="s">
        <v>38</v>
      </c>
      <c r="E380" s="2">
        <v>0.61458333333333337</v>
      </c>
      <c r="F380" t="s">
        <v>107</v>
      </c>
      <c r="G380">
        <v>31</v>
      </c>
      <c r="H380">
        <v>30</v>
      </c>
      <c r="I380">
        <v>12.5</v>
      </c>
      <c r="J380">
        <v>22</v>
      </c>
      <c r="K380" t="s">
        <v>51</v>
      </c>
      <c r="L380">
        <v>0</v>
      </c>
      <c r="M380" t="s">
        <v>34</v>
      </c>
      <c r="N380">
        <v>38</v>
      </c>
      <c r="O380">
        <v>36</v>
      </c>
      <c r="P380">
        <v>0.9</v>
      </c>
      <c r="Q380">
        <v>0</v>
      </c>
      <c r="R380">
        <v>14</v>
      </c>
      <c r="S380">
        <v>2</v>
      </c>
      <c r="T380">
        <v>4</v>
      </c>
      <c r="U380">
        <v>0</v>
      </c>
      <c r="V380" t="s">
        <v>35</v>
      </c>
      <c r="W380">
        <v>0</v>
      </c>
      <c r="X380">
        <v>0.94736842105263097</v>
      </c>
      <c r="Y380">
        <v>0</v>
      </c>
      <c r="Z380">
        <v>1.4090909090909001</v>
      </c>
      <c r="AA380">
        <v>2.48</v>
      </c>
      <c r="AB380">
        <v>1</v>
      </c>
      <c r="AC380">
        <v>3.4760869565217298</v>
      </c>
    </row>
    <row r="381" spans="1:29" x14ac:dyDescent="0.35">
      <c r="A381" t="s">
        <v>461</v>
      </c>
      <c r="B381" t="s">
        <v>106</v>
      </c>
      <c r="C381" s="1">
        <v>45704</v>
      </c>
      <c r="D381" t="s">
        <v>31</v>
      </c>
      <c r="E381" s="2">
        <v>0.57291666666666663</v>
      </c>
      <c r="F381" t="s">
        <v>55</v>
      </c>
      <c r="G381">
        <v>40</v>
      </c>
      <c r="H381">
        <v>39</v>
      </c>
      <c r="I381">
        <v>15</v>
      </c>
      <c r="J381">
        <v>28</v>
      </c>
      <c r="K381" t="s">
        <v>40</v>
      </c>
      <c r="L381">
        <v>0</v>
      </c>
      <c r="M381" t="s">
        <v>34</v>
      </c>
      <c r="N381">
        <v>25</v>
      </c>
      <c r="O381">
        <v>21</v>
      </c>
      <c r="P381">
        <v>7.7</v>
      </c>
      <c r="Q381">
        <v>0</v>
      </c>
      <c r="R381">
        <v>13</v>
      </c>
      <c r="S381">
        <v>2</v>
      </c>
      <c r="T381">
        <v>6</v>
      </c>
      <c r="U381">
        <v>1</v>
      </c>
      <c r="V381" t="s">
        <v>35</v>
      </c>
      <c r="W381">
        <v>0</v>
      </c>
      <c r="X381">
        <v>0.84</v>
      </c>
      <c r="Y381">
        <v>1</v>
      </c>
      <c r="Z381">
        <v>1.4285714285714199</v>
      </c>
      <c r="AA381">
        <v>2.6666666666666599</v>
      </c>
      <c r="AB381">
        <v>1</v>
      </c>
      <c r="AC381">
        <v>9.4749999999999996</v>
      </c>
    </row>
    <row r="382" spans="1:29" x14ac:dyDescent="0.35">
      <c r="A382" t="s">
        <v>462</v>
      </c>
      <c r="B382" t="s">
        <v>60</v>
      </c>
      <c r="C382" s="1">
        <v>45663</v>
      </c>
      <c r="D382" t="s">
        <v>87</v>
      </c>
      <c r="E382" s="2">
        <v>0.39583333333333331</v>
      </c>
      <c r="F382" t="s">
        <v>39</v>
      </c>
      <c r="G382">
        <v>101</v>
      </c>
      <c r="H382">
        <v>101</v>
      </c>
      <c r="I382">
        <v>12.5</v>
      </c>
      <c r="J382">
        <v>22</v>
      </c>
      <c r="K382" t="s">
        <v>51</v>
      </c>
      <c r="L382">
        <v>0</v>
      </c>
      <c r="M382" t="s">
        <v>34</v>
      </c>
      <c r="N382">
        <v>38</v>
      </c>
      <c r="O382">
        <v>35</v>
      </c>
      <c r="P382">
        <v>5.9</v>
      </c>
      <c r="Q382">
        <v>0</v>
      </c>
      <c r="R382">
        <v>9</v>
      </c>
      <c r="S382">
        <v>1</v>
      </c>
      <c r="T382">
        <v>0</v>
      </c>
      <c r="U382">
        <v>0</v>
      </c>
      <c r="V382" t="s">
        <v>47</v>
      </c>
      <c r="W382">
        <v>0</v>
      </c>
      <c r="X382">
        <v>0.92105263157894701</v>
      </c>
      <c r="Y382">
        <v>1</v>
      </c>
      <c r="Z382">
        <v>4.5909090909090899</v>
      </c>
      <c r="AA382">
        <v>8.08</v>
      </c>
      <c r="AB382">
        <v>0</v>
      </c>
      <c r="AC382">
        <v>3.4760869565217298</v>
      </c>
    </row>
    <row r="383" spans="1:29" x14ac:dyDescent="0.35">
      <c r="A383" t="s">
        <v>463</v>
      </c>
      <c r="B383" t="s">
        <v>106</v>
      </c>
      <c r="C383" s="1">
        <v>45682</v>
      </c>
      <c r="D383" t="s">
        <v>50</v>
      </c>
      <c r="E383" s="2">
        <v>0.30208333333333331</v>
      </c>
      <c r="F383" t="s">
        <v>45</v>
      </c>
      <c r="G383">
        <v>122.625</v>
      </c>
      <c r="H383">
        <v>121</v>
      </c>
      <c r="I383">
        <v>15</v>
      </c>
      <c r="J383">
        <v>28</v>
      </c>
      <c r="K383" t="s">
        <v>40</v>
      </c>
      <c r="L383">
        <v>0</v>
      </c>
      <c r="M383" t="s">
        <v>69</v>
      </c>
      <c r="N383">
        <v>22</v>
      </c>
      <c r="O383">
        <v>20</v>
      </c>
      <c r="P383">
        <v>12.1</v>
      </c>
      <c r="Q383">
        <v>0</v>
      </c>
      <c r="R383">
        <v>7</v>
      </c>
      <c r="S383">
        <v>1</v>
      </c>
      <c r="T383">
        <v>5</v>
      </c>
      <c r="U383">
        <v>1</v>
      </c>
      <c r="V383" t="s">
        <v>47</v>
      </c>
      <c r="W383">
        <v>1</v>
      </c>
      <c r="X383">
        <v>0.90909090909090895</v>
      </c>
      <c r="Y383">
        <v>1</v>
      </c>
      <c r="Z383">
        <v>4.3794642857142803</v>
      </c>
      <c r="AA383">
        <v>8.1750000000000007</v>
      </c>
      <c r="AB383">
        <v>1.625</v>
      </c>
      <c r="AC383">
        <v>9.4749999999999996</v>
      </c>
    </row>
    <row r="384" spans="1:29" x14ac:dyDescent="0.35">
      <c r="A384" t="s">
        <v>464</v>
      </c>
      <c r="B384" t="s">
        <v>43</v>
      </c>
      <c r="C384" s="1">
        <v>45676</v>
      </c>
      <c r="D384" t="s">
        <v>31</v>
      </c>
      <c r="E384" s="2">
        <v>0.48958333333333331</v>
      </c>
      <c r="F384" t="s">
        <v>119</v>
      </c>
      <c r="G384">
        <v>122.625</v>
      </c>
      <c r="H384">
        <v>37</v>
      </c>
      <c r="I384">
        <v>18.399999999999999</v>
      </c>
      <c r="J384">
        <v>32</v>
      </c>
      <c r="K384" t="s">
        <v>46</v>
      </c>
      <c r="L384">
        <v>0</v>
      </c>
      <c r="M384" t="s">
        <v>34</v>
      </c>
      <c r="N384">
        <v>34</v>
      </c>
      <c r="O384">
        <v>30</v>
      </c>
      <c r="P384">
        <v>9.3000000000000007</v>
      </c>
      <c r="Q384">
        <v>0</v>
      </c>
      <c r="R384">
        <v>11</v>
      </c>
      <c r="S384">
        <v>1</v>
      </c>
      <c r="T384">
        <v>6</v>
      </c>
      <c r="U384">
        <v>1</v>
      </c>
      <c r="V384" t="s">
        <v>35</v>
      </c>
      <c r="W384">
        <v>0</v>
      </c>
      <c r="X384">
        <v>0.88235294117647001</v>
      </c>
      <c r="Y384">
        <v>1</v>
      </c>
      <c r="Z384">
        <v>3.83203125</v>
      </c>
      <c r="AA384">
        <v>6.6644021739130404</v>
      </c>
      <c r="AB384">
        <v>85.625</v>
      </c>
      <c r="AC384">
        <v>8.6013888888888896</v>
      </c>
    </row>
    <row r="385" spans="1:29" x14ac:dyDescent="0.35">
      <c r="A385" t="s">
        <v>465</v>
      </c>
      <c r="B385" t="s">
        <v>60</v>
      </c>
      <c r="C385" s="1">
        <v>45674</v>
      </c>
      <c r="D385" t="s">
        <v>38</v>
      </c>
      <c r="E385" s="2">
        <v>0.75</v>
      </c>
      <c r="F385" t="s">
        <v>80</v>
      </c>
      <c r="G385">
        <v>91</v>
      </c>
      <c r="H385">
        <v>77</v>
      </c>
      <c r="I385">
        <v>12.5</v>
      </c>
      <c r="J385">
        <v>22</v>
      </c>
      <c r="K385" t="s">
        <v>51</v>
      </c>
      <c r="L385">
        <v>0</v>
      </c>
      <c r="M385" t="s">
        <v>34</v>
      </c>
      <c r="N385">
        <v>19</v>
      </c>
      <c r="O385">
        <v>18</v>
      </c>
      <c r="P385">
        <v>2</v>
      </c>
      <c r="Q385">
        <v>0</v>
      </c>
      <c r="R385">
        <v>18</v>
      </c>
      <c r="S385">
        <v>1</v>
      </c>
      <c r="T385">
        <v>4</v>
      </c>
      <c r="U385">
        <v>0</v>
      </c>
      <c r="V385" t="s">
        <v>41</v>
      </c>
      <c r="W385">
        <v>0</v>
      </c>
      <c r="X385">
        <v>0.94736842105263097</v>
      </c>
      <c r="Y385">
        <v>0</v>
      </c>
      <c r="Z385">
        <v>4.1363636363636296</v>
      </c>
      <c r="AA385">
        <v>7.28</v>
      </c>
      <c r="AB385">
        <v>14</v>
      </c>
      <c r="AC385">
        <v>3.4760869565217298</v>
      </c>
    </row>
    <row r="386" spans="1:29" x14ac:dyDescent="0.35">
      <c r="A386" t="s">
        <v>466</v>
      </c>
      <c r="B386" t="s">
        <v>49</v>
      </c>
      <c r="C386" s="1">
        <v>45683</v>
      </c>
      <c r="D386" t="s">
        <v>31</v>
      </c>
      <c r="E386" s="2">
        <v>0.65625</v>
      </c>
      <c r="F386" t="s">
        <v>100</v>
      </c>
      <c r="G386">
        <v>27</v>
      </c>
      <c r="H386">
        <v>24</v>
      </c>
      <c r="I386">
        <v>8.1999999999999993</v>
      </c>
      <c r="J386">
        <v>15</v>
      </c>
      <c r="K386" t="s">
        <v>51</v>
      </c>
      <c r="L386">
        <v>1</v>
      </c>
      <c r="M386" t="s">
        <v>34</v>
      </c>
      <c r="N386">
        <v>19</v>
      </c>
      <c r="O386">
        <v>19</v>
      </c>
      <c r="P386">
        <v>2.5</v>
      </c>
      <c r="Q386">
        <v>0</v>
      </c>
      <c r="R386">
        <v>15</v>
      </c>
      <c r="S386">
        <v>1</v>
      </c>
      <c r="T386">
        <v>6</v>
      </c>
      <c r="U386">
        <v>1</v>
      </c>
      <c r="V386" t="s">
        <v>35</v>
      </c>
      <c r="W386">
        <v>0</v>
      </c>
      <c r="X386">
        <v>1</v>
      </c>
      <c r="Y386">
        <v>0</v>
      </c>
      <c r="Z386">
        <v>1.8</v>
      </c>
      <c r="AA386">
        <v>3.2926829268292601</v>
      </c>
      <c r="AB386">
        <v>3</v>
      </c>
      <c r="AC386">
        <v>3.6937500000000001</v>
      </c>
    </row>
    <row r="387" spans="1:29" x14ac:dyDescent="0.35">
      <c r="A387" t="s">
        <v>467</v>
      </c>
      <c r="B387" t="s">
        <v>65</v>
      </c>
      <c r="C387" s="1">
        <v>45674</v>
      </c>
      <c r="D387" t="s">
        <v>38</v>
      </c>
      <c r="E387" s="2">
        <v>0.71875</v>
      </c>
      <c r="F387" t="s">
        <v>61</v>
      </c>
      <c r="G387">
        <v>57</v>
      </c>
      <c r="H387">
        <v>52</v>
      </c>
      <c r="I387">
        <v>6.8</v>
      </c>
      <c r="J387">
        <v>12</v>
      </c>
      <c r="K387" t="s">
        <v>66</v>
      </c>
      <c r="L387">
        <v>0</v>
      </c>
      <c r="M387" t="s">
        <v>34</v>
      </c>
      <c r="N387">
        <v>37</v>
      </c>
      <c r="O387">
        <v>35</v>
      </c>
      <c r="P387">
        <v>2.6</v>
      </c>
      <c r="Q387">
        <v>0</v>
      </c>
      <c r="R387">
        <v>17</v>
      </c>
      <c r="S387">
        <v>1</v>
      </c>
      <c r="T387">
        <v>4</v>
      </c>
      <c r="U387">
        <v>0</v>
      </c>
      <c r="V387" t="s">
        <v>41</v>
      </c>
      <c r="W387">
        <v>0</v>
      </c>
      <c r="X387">
        <v>0.94594594594594505</v>
      </c>
      <c r="Y387">
        <v>0</v>
      </c>
      <c r="Z387">
        <v>4.75</v>
      </c>
      <c r="AA387">
        <v>8.3823529411764692</v>
      </c>
      <c r="AB387">
        <v>5</v>
      </c>
      <c r="AC387">
        <v>2.7611111111111102</v>
      </c>
    </row>
    <row r="388" spans="1:29" x14ac:dyDescent="0.35">
      <c r="A388" t="s">
        <v>468</v>
      </c>
      <c r="B388" t="s">
        <v>60</v>
      </c>
      <c r="C388" s="1">
        <v>45663</v>
      </c>
      <c r="D388" t="s">
        <v>87</v>
      </c>
      <c r="E388" s="2">
        <v>0.58333333333333337</v>
      </c>
      <c r="F388" t="s">
        <v>73</v>
      </c>
      <c r="G388">
        <v>46</v>
      </c>
      <c r="H388">
        <v>43</v>
      </c>
      <c r="I388">
        <v>12.5</v>
      </c>
      <c r="J388">
        <v>22</v>
      </c>
      <c r="K388" t="s">
        <v>51</v>
      </c>
      <c r="L388">
        <v>0</v>
      </c>
      <c r="M388" t="s">
        <v>34</v>
      </c>
      <c r="N388">
        <v>38</v>
      </c>
      <c r="O388">
        <v>35</v>
      </c>
      <c r="P388">
        <v>5.9</v>
      </c>
      <c r="Q388">
        <v>0</v>
      </c>
      <c r="R388">
        <v>14</v>
      </c>
      <c r="S388">
        <v>1</v>
      </c>
      <c r="T388">
        <v>0</v>
      </c>
      <c r="U388">
        <v>0</v>
      </c>
      <c r="V388" t="s">
        <v>35</v>
      </c>
      <c r="W388">
        <v>0</v>
      </c>
      <c r="X388">
        <v>0.92105263157894701</v>
      </c>
      <c r="Y388">
        <v>1</v>
      </c>
      <c r="Z388">
        <v>2.0909090909090899</v>
      </c>
      <c r="AA388">
        <v>3.68</v>
      </c>
      <c r="AB388">
        <v>3</v>
      </c>
      <c r="AC388">
        <v>3.4760869565217298</v>
      </c>
    </row>
    <row r="389" spans="1:29" x14ac:dyDescent="0.35">
      <c r="A389" t="s">
        <v>469</v>
      </c>
      <c r="B389" t="s">
        <v>49</v>
      </c>
      <c r="C389" s="1">
        <v>45700</v>
      </c>
      <c r="D389" t="s">
        <v>78</v>
      </c>
      <c r="E389" s="2">
        <v>0.61458333333333337</v>
      </c>
      <c r="F389" t="s">
        <v>32</v>
      </c>
      <c r="G389">
        <v>43</v>
      </c>
      <c r="H389">
        <v>37</v>
      </c>
      <c r="I389">
        <v>8.1999999999999993</v>
      </c>
      <c r="J389">
        <v>15</v>
      </c>
      <c r="K389" t="s">
        <v>51</v>
      </c>
      <c r="L389">
        <v>0</v>
      </c>
      <c r="M389" t="s">
        <v>34</v>
      </c>
      <c r="N389">
        <v>25</v>
      </c>
      <c r="O389">
        <v>24</v>
      </c>
      <c r="P389">
        <v>8.1999999999999993</v>
      </c>
      <c r="Q389">
        <v>0</v>
      </c>
      <c r="R389">
        <v>14</v>
      </c>
      <c r="S389">
        <v>2</v>
      </c>
      <c r="T389">
        <v>2</v>
      </c>
      <c r="U389">
        <v>0</v>
      </c>
      <c r="V389" t="s">
        <v>35</v>
      </c>
      <c r="W389">
        <v>0</v>
      </c>
      <c r="X389">
        <v>0.96</v>
      </c>
      <c r="Y389">
        <v>1</v>
      </c>
      <c r="Z389">
        <v>2.86666666666666</v>
      </c>
      <c r="AA389">
        <v>5.2439024390243896</v>
      </c>
      <c r="AB389">
        <v>6</v>
      </c>
      <c r="AC389">
        <v>3.6937500000000001</v>
      </c>
    </row>
    <row r="390" spans="1:29" x14ac:dyDescent="0.35">
      <c r="A390" t="s">
        <v>470</v>
      </c>
      <c r="B390" t="s">
        <v>106</v>
      </c>
      <c r="C390" s="1">
        <v>45661</v>
      </c>
      <c r="D390" t="s">
        <v>50</v>
      </c>
      <c r="E390" s="2">
        <v>0.27083333333333331</v>
      </c>
      <c r="F390" t="s">
        <v>100</v>
      </c>
      <c r="G390">
        <v>37</v>
      </c>
      <c r="H390">
        <v>36</v>
      </c>
      <c r="I390">
        <v>15</v>
      </c>
      <c r="J390">
        <v>28</v>
      </c>
      <c r="K390" t="s">
        <v>40</v>
      </c>
      <c r="L390">
        <v>0</v>
      </c>
      <c r="M390" t="s">
        <v>34</v>
      </c>
      <c r="N390">
        <v>19</v>
      </c>
      <c r="O390">
        <v>16</v>
      </c>
      <c r="P390">
        <v>11.1</v>
      </c>
      <c r="Q390">
        <v>0</v>
      </c>
      <c r="R390">
        <v>6</v>
      </c>
      <c r="S390">
        <v>1</v>
      </c>
      <c r="T390">
        <v>5</v>
      </c>
      <c r="U390">
        <v>1</v>
      </c>
      <c r="V390" t="s">
        <v>35</v>
      </c>
      <c r="W390">
        <v>0</v>
      </c>
      <c r="X390">
        <v>0.84210526315789402</v>
      </c>
      <c r="Y390">
        <v>1</v>
      </c>
      <c r="Z390">
        <v>1.3214285714285701</v>
      </c>
      <c r="AA390">
        <v>2.4666666666666601</v>
      </c>
      <c r="AB390">
        <v>1</v>
      </c>
      <c r="AC390">
        <v>9.4749999999999996</v>
      </c>
    </row>
    <row r="391" spans="1:29" x14ac:dyDescent="0.35">
      <c r="A391" t="s">
        <v>471</v>
      </c>
      <c r="B391" t="s">
        <v>72</v>
      </c>
      <c r="C391" s="1">
        <v>45670</v>
      </c>
      <c r="D391" t="s">
        <v>87</v>
      </c>
      <c r="E391" s="2">
        <v>0.58333333333333337</v>
      </c>
      <c r="F391" t="s">
        <v>89</v>
      </c>
      <c r="G391">
        <v>48</v>
      </c>
      <c r="H391">
        <v>47</v>
      </c>
      <c r="I391">
        <v>11.6</v>
      </c>
      <c r="J391">
        <v>21</v>
      </c>
      <c r="K391" t="s">
        <v>33</v>
      </c>
      <c r="L391">
        <v>0</v>
      </c>
      <c r="M391" t="s">
        <v>34</v>
      </c>
      <c r="N391">
        <v>23</v>
      </c>
      <c r="O391">
        <v>22</v>
      </c>
      <c r="P391">
        <v>0.5</v>
      </c>
      <c r="Q391">
        <v>0</v>
      </c>
      <c r="R391">
        <v>14</v>
      </c>
      <c r="S391">
        <v>1</v>
      </c>
      <c r="T391">
        <v>0</v>
      </c>
      <c r="U391">
        <v>0</v>
      </c>
      <c r="V391" t="s">
        <v>35</v>
      </c>
      <c r="W391">
        <v>0</v>
      </c>
      <c r="X391">
        <v>0.95652173913043403</v>
      </c>
      <c r="Y391">
        <v>0</v>
      </c>
      <c r="Z391">
        <v>2.2857142857142798</v>
      </c>
      <c r="AA391">
        <v>4.13793103448275</v>
      </c>
      <c r="AB391">
        <v>1</v>
      </c>
      <c r="AC391">
        <v>2.80217391304347</v>
      </c>
    </row>
    <row r="392" spans="1:29" x14ac:dyDescent="0.35">
      <c r="A392" t="s">
        <v>472</v>
      </c>
      <c r="B392" t="s">
        <v>106</v>
      </c>
      <c r="C392" s="1">
        <v>45695</v>
      </c>
      <c r="D392" t="s">
        <v>38</v>
      </c>
      <c r="E392" s="2">
        <v>0.54166666666666663</v>
      </c>
      <c r="F392" t="s">
        <v>32</v>
      </c>
      <c r="G392">
        <v>47</v>
      </c>
      <c r="H392">
        <v>44</v>
      </c>
      <c r="I392">
        <v>15</v>
      </c>
      <c r="J392">
        <v>28</v>
      </c>
      <c r="K392" t="s">
        <v>40</v>
      </c>
      <c r="L392">
        <v>0</v>
      </c>
      <c r="M392" t="s">
        <v>34</v>
      </c>
      <c r="N392">
        <v>23</v>
      </c>
      <c r="O392">
        <v>19</v>
      </c>
      <c r="P392">
        <v>6.8</v>
      </c>
      <c r="Q392">
        <v>0</v>
      </c>
      <c r="R392">
        <v>13</v>
      </c>
      <c r="S392">
        <v>2</v>
      </c>
      <c r="T392">
        <v>4</v>
      </c>
      <c r="U392">
        <v>0</v>
      </c>
      <c r="V392" t="s">
        <v>35</v>
      </c>
      <c r="W392">
        <v>0</v>
      </c>
      <c r="X392">
        <v>0.82608695652173902</v>
      </c>
      <c r="Y392">
        <v>1</v>
      </c>
      <c r="Z392">
        <v>1.6785714285714199</v>
      </c>
      <c r="AA392">
        <v>3.1333333333333302</v>
      </c>
      <c r="AB392">
        <v>3</v>
      </c>
      <c r="AC392">
        <v>9.4749999999999996</v>
      </c>
    </row>
    <row r="393" spans="1:29" x14ac:dyDescent="0.35">
      <c r="A393" t="s">
        <v>473</v>
      </c>
      <c r="B393" t="s">
        <v>49</v>
      </c>
      <c r="C393" s="1">
        <v>45691</v>
      </c>
      <c r="D393" t="s">
        <v>87</v>
      </c>
      <c r="E393" s="2">
        <v>0.46875</v>
      </c>
      <c r="F393" t="s">
        <v>58</v>
      </c>
      <c r="G393">
        <v>24</v>
      </c>
      <c r="H393">
        <v>24</v>
      </c>
      <c r="I393">
        <v>8.1999999999999993</v>
      </c>
      <c r="J393">
        <v>15</v>
      </c>
      <c r="K393" t="s">
        <v>51</v>
      </c>
      <c r="L393">
        <v>0</v>
      </c>
      <c r="M393" t="s">
        <v>34</v>
      </c>
      <c r="N393">
        <v>31</v>
      </c>
      <c r="O393">
        <v>30</v>
      </c>
      <c r="P393">
        <v>6.1</v>
      </c>
      <c r="Q393">
        <v>0</v>
      </c>
      <c r="R393">
        <v>11</v>
      </c>
      <c r="S393">
        <v>2</v>
      </c>
      <c r="T393">
        <v>0</v>
      </c>
      <c r="U393">
        <v>0</v>
      </c>
      <c r="V393" t="s">
        <v>35</v>
      </c>
      <c r="W393">
        <v>0</v>
      </c>
      <c r="X393">
        <v>0.967741935483871</v>
      </c>
      <c r="Y393">
        <v>1</v>
      </c>
      <c r="Z393">
        <v>1.6</v>
      </c>
      <c r="AA393">
        <v>2.9268292682926802</v>
      </c>
      <c r="AB393">
        <v>0</v>
      </c>
      <c r="AC393">
        <v>3.6937500000000001</v>
      </c>
    </row>
    <row r="394" spans="1:29" x14ac:dyDescent="0.35">
      <c r="A394" t="s">
        <v>474</v>
      </c>
      <c r="B394" t="s">
        <v>43</v>
      </c>
      <c r="C394" s="1">
        <v>45665</v>
      </c>
      <c r="D394" t="s">
        <v>78</v>
      </c>
      <c r="E394" s="2">
        <v>0.6875</v>
      </c>
      <c r="F394" t="s">
        <v>32</v>
      </c>
      <c r="G394">
        <v>66</v>
      </c>
      <c r="H394">
        <v>60</v>
      </c>
      <c r="I394">
        <v>18.399999999999999</v>
      </c>
      <c r="J394">
        <v>32</v>
      </c>
      <c r="K394" t="s">
        <v>46</v>
      </c>
      <c r="L394">
        <v>0</v>
      </c>
      <c r="M394" t="s">
        <v>34</v>
      </c>
      <c r="N394">
        <v>25</v>
      </c>
      <c r="O394">
        <v>24</v>
      </c>
      <c r="P394">
        <v>8.8000000000000007</v>
      </c>
      <c r="Q394">
        <v>1</v>
      </c>
      <c r="R394">
        <v>16</v>
      </c>
      <c r="S394">
        <v>1</v>
      </c>
      <c r="T394">
        <v>2</v>
      </c>
      <c r="U394">
        <v>0</v>
      </c>
      <c r="V394" t="s">
        <v>35</v>
      </c>
      <c r="W394">
        <v>0</v>
      </c>
      <c r="X394">
        <v>0.96</v>
      </c>
      <c r="Y394">
        <v>1</v>
      </c>
      <c r="Z394">
        <v>2.0625</v>
      </c>
      <c r="AA394">
        <v>3.5869565217391299</v>
      </c>
      <c r="AB394">
        <v>6</v>
      </c>
      <c r="AC394">
        <v>8.6013888888888896</v>
      </c>
    </row>
    <row r="395" spans="1:29" x14ac:dyDescent="0.35">
      <c r="A395" t="s">
        <v>475</v>
      </c>
      <c r="B395" t="s">
        <v>60</v>
      </c>
      <c r="C395" s="1">
        <v>45666</v>
      </c>
      <c r="D395" t="s">
        <v>54</v>
      </c>
      <c r="E395" s="2">
        <v>0.29166666666666669</v>
      </c>
      <c r="F395" t="s">
        <v>100</v>
      </c>
      <c r="G395">
        <v>77</v>
      </c>
      <c r="H395">
        <v>74</v>
      </c>
      <c r="I395">
        <v>12.5</v>
      </c>
      <c r="J395">
        <v>22</v>
      </c>
      <c r="K395" t="s">
        <v>51</v>
      </c>
      <c r="L395">
        <v>0</v>
      </c>
      <c r="M395" t="s">
        <v>34</v>
      </c>
      <c r="N395">
        <v>33</v>
      </c>
      <c r="O395">
        <v>31</v>
      </c>
      <c r="P395">
        <v>4.5</v>
      </c>
      <c r="Q395">
        <v>0</v>
      </c>
      <c r="R395">
        <v>7</v>
      </c>
      <c r="S395">
        <v>1</v>
      </c>
      <c r="T395">
        <v>3</v>
      </c>
      <c r="U395">
        <v>0</v>
      </c>
      <c r="V395" t="s">
        <v>47</v>
      </c>
      <c r="W395">
        <v>0</v>
      </c>
      <c r="X395">
        <v>0.939393939393939</v>
      </c>
      <c r="Y395">
        <v>0</v>
      </c>
      <c r="Z395">
        <v>3.5</v>
      </c>
      <c r="AA395">
        <v>6.16</v>
      </c>
      <c r="AB395">
        <v>3</v>
      </c>
      <c r="AC395">
        <v>3.4760869565217298</v>
      </c>
    </row>
    <row r="396" spans="1:29" x14ac:dyDescent="0.35">
      <c r="A396" t="s">
        <v>476</v>
      </c>
      <c r="B396" t="s">
        <v>37</v>
      </c>
      <c r="C396" s="1">
        <v>45716</v>
      </c>
      <c r="D396" t="s">
        <v>38</v>
      </c>
      <c r="E396" s="2">
        <v>0.73958333333333337</v>
      </c>
      <c r="F396" t="s">
        <v>61</v>
      </c>
      <c r="G396">
        <v>56</v>
      </c>
      <c r="H396">
        <v>51</v>
      </c>
      <c r="I396">
        <v>9.5</v>
      </c>
      <c r="J396">
        <v>17</v>
      </c>
      <c r="K396" t="s">
        <v>40</v>
      </c>
      <c r="L396">
        <v>0</v>
      </c>
      <c r="M396" t="s">
        <v>34</v>
      </c>
      <c r="N396">
        <v>19</v>
      </c>
      <c r="O396">
        <v>18</v>
      </c>
      <c r="P396">
        <v>10.4</v>
      </c>
      <c r="Q396">
        <v>0</v>
      </c>
      <c r="R396">
        <v>17</v>
      </c>
      <c r="S396">
        <v>2</v>
      </c>
      <c r="T396">
        <v>4</v>
      </c>
      <c r="U396">
        <v>0</v>
      </c>
      <c r="V396" t="s">
        <v>41</v>
      </c>
      <c r="W396">
        <v>0</v>
      </c>
      <c r="X396">
        <v>0.94736842105263097</v>
      </c>
      <c r="Y396">
        <v>1</v>
      </c>
      <c r="Z396">
        <v>3.2941176470588198</v>
      </c>
      <c r="AA396">
        <v>5.8947368421052602</v>
      </c>
      <c r="AB396">
        <v>5</v>
      </c>
      <c r="AC396">
        <v>3.8470588235294101</v>
      </c>
    </row>
    <row r="397" spans="1:29" x14ac:dyDescent="0.35">
      <c r="A397" t="s">
        <v>477</v>
      </c>
      <c r="B397" t="s">
        <v>49</v>
      </c>
      <c r="C397" s="1">
        <v>45717</v>
      </c>
      <c r="D397" t="s">
        <v>50</v>
      </c>
      <c r="E397" s="2">
        <v>0.34375</v>
      </c>
      <c r="F397" t="s">
        <v>55</v>
      </c>
      <c r="G397">
        <v>64</v>
      </c>
      <c r="H397">
        <v>63</v>
      </c>
      <c r="I397">
        <v>8.1999999999999993</v>
      </c>
      <c r="J397">
        <v>15</v>
      </c>
      <c r="K397" t="s">
        <v>51</v>
      </c>
      <c r="L397">
        <v>0</v>
      </c>
      <c r="M397" t="s">
        <v>34</v>
      </c>
      <c r="N397">
        <v>33</v>
      </c>
      <c r="O397">
        <v>32</v>
      </c>
      <c r="P397">
        <v>0.6</v>
      </c>
      <c r="Q397">
        <v>0</v>
      </c>
      <c r="R397">
        <v>8</v>
      </c>
      <c r="S397">
        <v>3</v>
      </c>
      <c r="T397">
        <v>5</v>
      </c>
      <c r="U397">
        <v>1</v>
      </c>
      <c r="V397" t="s">
        <v>47</v>
      </c>
      <c r="W397">
        <v>0</v>
      </c>
      <c r="X397">
        <v>0.96969696969696895</v>
      </c>
      <c r="Y397">
        <v>0</v>
      </c>
      <c r="Z397">
        <v>4.2666666666666604</v>
      </c>
      <c r="AA397">
        <v>7.8048780487804796</v>
      </c>
      <c r="AB397">
        <v>1</v>
      </c>
      <c r="AC397">
        <v>3.6937500000000001</v>
      </c>
    </row>
    <row r="398" spans="1:29" x14ac:dyDescent="0.35">
      <c r="A398" t="s">
        <v>478</v>
      </c>
      <c r="B398" t="s">
        <v>60</v>
      </c>
      <c r="C398" s="1">
        <v>45675</v>
      </c>
      <c r="D398" t="s">
        <v>50</v>
      </c>
      <c r="E398" s="2">
        <v>0.64583333333333337</v>
      </c>
      <c r="F398" t="s">
        <v>55</v>
      </c>
      <c r="G398">
        <v>43</v>
      </c>
      <c r="H398">
        <v>39</v>
      </c>
      <c r="I398">
        <v>12.5</v>
      </c>
      <c r="J398">
        <v>22</v>
      </c>
      <c r="K398" t="s">
        <v>51</v>
      </c>
      <c r="L398">
        <v>0</v>
      </c>
      <c r="M398" t="s">
        <v>148</v>
      </c>
      <c r="N398">
        <v>28</v>
      </c>
      <c r="O398">
        <v>28</v>
      </c>
      <c r="P398">
        <v>5.8</v>
      </c>
      <c r="Q398">
        <v>0</v>
      </c>
      <c r="R398">
        <v>15</v>
      </c>
      <c r="S398">
        <v>1</v>
      </c>
      <c r="T398">
        <v>5</v>
      </c>
      <c r="U398">
        <v>1</v>
      </c>
      <c r="V398" t="s">
        <v>35</v>
      </c>
      <c r="W398">
        <v>1</v>
      </c>
      <c r="X398">
        <v>1</v>
      </c>
      <c r="Y398">
        <v>1</v>
      </c>
      <c r="Z398">
        <v>1.9545454545454499</v>
      </c>
      <c r="AA398">
        <v>3.44</v>
      </c>
      <c r="AB398">
        <v>4</v>
      </c>
      <c r="AC398">
        <v>3.4760869565217298</v>
      </c>
    </row>
    <row r="399" spans="1:29" x14ac:dyDescent="0.35">
      <c r="A399" t="s">
        <v>479</v>
      </c>
      <c r="B399" t="s">
        <v>60</v>
      </c>
      <c r="C399" s="1">
        <v>45663</v>
      </c>
      <c r="D399" t="s">
        <v>87</v>
      </c>
      <c r="E399" s="2">
        <v>0.84375</v>
      </c>
      <c r="F399" t="s">
        <v>89</v>
      </c>
      <c r="G399">
        <v>42</v>
      </c>
      <c r="H399">
        <v>41</v>
      </c>
      <c r="I399">
        <v>12.5</v>
      </c>
      <c r="J399">
        <v>22</v>
      </c>
      <c r="K399" t="s">
        <v>51</v>
      </c>
      <c r="L399">
        <v>0</v>
      </c>
      <c r="M399" t="s">
        <v>34</v>
      </c>
      <c r="N399">
        <v>38</v>
      </c>
      <c r="O399">
        <v>35</v>
      </c>
      <c r="P399">
        <v>5.9</v>
      </c>
      <c r="Q399">
        <v>0</v>
      </c>
      <c r="R399">
        <v>20</v>
      </c>
      <c r="S399">
        <v>1</v>
      </c>
      <c r="T399">
        <v>0</v>
      </c>
      <c r="U399">
        <v>0</v>
      </c>
      <c r="V399" t="s">
        <v>35</v>
      </c>
      <c r="W399">
        <v>0</v>
      </c>
      <c r="X399">
        <v>0.92105263157894701</v>
      </c>
      <c r="Y399">
        <v>1</v>
      </c>
      <c r="Z399">
        <v>1.9090909090909001</v>
      </c>
      <c r="AA399">
        <v>3.36</v>
      </c>
      <c r="AB399">
        <v>1</v>
      </c>
      <c r="AC399">
        <v>3.4760869565217298</v>
      </c>
    </row>
    <row r="400" spans="1:29" x14ac:dyDescent="0.35">
      <c r="A400" t="s">
        <v>480</v>
      </c>
      <c r="B400" t="s">
        <v>106</v>
      </c>
      <c r="C400" s="1">
        <v>45662</v>
      </c>
      <c r="D400" t="s">
        <v>31</v>
      </c>
      <c r="E400" s="2">
        <v>0.70833333333333337</v>
      </c>
      <c r="F400" t="s">
        <v>39</v>
      </c>
      <c r="G400">
        <v>70</v>
      </c>
      <c r="H400">
        <v>62</v>
      </c>
      <c r="I400">
        <v>15</v>
      </c>
      <c r="J400">
        <v>28</v>
      </c>
      <c r="K400" t="s">
        <v>40</v>
      </c>
      <c r="L400">
        <v>0</v>
      </c>
      <c r="M400" t="s">
        <v>34</v>
      </c>
      <c r="N400">
        <v>21</v>
      </c>
      <c r="O400">
        <v>20</v>
      </c>
      <c r="P400">
        <v>3</v>
      </c>
      <c r="Q400">
        <v>0</v>
      </c>
      <c r="R400">
        <v>17</v>
      </c>
      <c r="S400">
        <v>1</v>
      </c>
      <c r="T400">
        <v>6</v>
      </c>
      <c r="U400">
        <v>1</v>
      </c>
      <c r="V400" t="s">
        <v>41</v>
      </c>
      <c r="W400">
        <v>0</v>
      </c>
      <c r="X400">
        <v>0.952380952380952</v>
      </c>
      <c r="Y400">
        <v>0</v>
      </c>
      <c r="Z400">
        <v>2.5</v>
      </c>
      <c r="AA400">
        <v>4.6666666666666599</v>
      </c>
      <c r="AB400">
        <v>8</v>
      </c>
      <c r="AC400">
        <v>9.4749999999999996</v>
      </c>
    </row>
    <row r="401" spans="1:29" x14ac:dyDescent="0.35">
      <c r="A401" t="s">
        <v>481</v>
      </c>
      <c r="B401" t="s">
        <v>49</v>
      </c>
      <c r="C401" s="1">
        <v>45706</v>
      </c>
      <c r="D401" t="s">
        <v>44</v>
      </c>
      <c r="E401" s="2">
        <v>0.89583333333333337</v>
      </c>
      <c r="F401" t="s">
        <v>61</v>
      </c>
      <c r="G401">
        <v>40</v>
      </c>
      <c r="H401">
        <v>35</v>
      </c>
      <c r="I401">
        <v>8.1999999999999993</v>
      </c>
      <c r="J401">
        <v>15</v>
      </c>
      <c r="K401" t="s">
        <v>51</v>
      </c>
      <c r="L401">
        <v>0</v>
      </c>
      <c r="M401" t="s">
        <v>34</v>
      </c>
      <c r="N401">
        <v>23</v>
      </c>
      <c r="O401">
        <v>23</v>
      </c>
      <c r="P401">
        <v>2.1</v>
      </c>
      <c r="Q401">
        <v>0</v>
      </c>
      <c r="R401">
        <v>21</v>
      </c>
      <c r="S401">
        <v>2</v>
      </c>
      <c r="T401">
        <v>1</v>
      </c>
      <c r="U401">
        <v>0</v>
      </c>
      <c r="V401" t="s">
        <v>35</v>
      </c>
      <c r="W401">
        <v>0</v>
      </c>
      <c r="X401">
        <v>1</v>
      </c>
      <c r="Y401">
        <v>0</v>
      </c>
      <c r="Z401">
        <v>2.6666666666666599</v>
      </c>
      <c r="AA401">
        <v>4.8780487804878003</v>
      </c>
      <c r="AB401">
        <v>5</v>
      </c>
      <c r="AC401">
        <v>3.6937500000000001</v>
      </c>
    </row>
    <row r="402" spans="1:29" x14ac:dyDescent="0.35">
      <c r="A402" t="s">
        <v>482</v>
      </c>
      <c r="B402" t="s">
        <v>60</v>
      </c>
      <c r="C402" s="1">
        <v>45690</v>
      </c>
      <c r="D402" t="s">
        <v>31</v>
      </c>
      <c r="E402" s="2">
        <v>0.84375</v>
      </c>
      <c r="F402" t="s">
        <v>68</v>
      </c>
      <c r="G402">
        <v>28</v>
      </c>
      <c r="H402">
        <v>25</v>
      </c>
      <c r="I402">
        <v>12.5</v>
      </c>
      <c r="J402">
        <v>22</v>
      </c>
      <c r="K402" t="s">
        <v>51</v>
      </c>
      <c r="L402">
        <v>0</v>
      </c>
      <c r="M402" t="s">
        <v>34</v>
      </c>
      <c r="N402">
        <v>22</v>
      </c>
      <c r="O402">
        <v>21</v>
      </c>
      <c r="P402">
        <v>2.2999999999999998</v>
      </c>
      <c r="Q402">
        <v>0</v>
      </c>
      <c r="R402">
        <v>20</v>
      </c>
      <c r="S402">
        <v>2</v>
      </c>
      <c r="T402">
        <v>6</v>
      </c>
      <c r="U402">
        <v>1</v>
      </c>
      <c r="V402" t="s">
        <v>35</v>
      </c>
      <c r="W402">
        <v>0</v>
      </c>
      <c r="X402">
        <v>0.95454545454545403</v>
      </c>
      <c r="Y402">
        <v>0</v>
      </c>
      <c r="Z402">
        <v>1.27272727272727</v>
      </c>
      <c r="AA402">
        <v>2.2400000000000002</v>
      </c>
      <c r="AB402">
        <v>3</v>
      </c>
      <c r="AC402">
        <v>3.4760869565217298</v>
      </c>
    </row>
    <row r="403" spans="1:29" x14ac:dyDescent="0.35">
      <c r="A403" t="s">
        <v>483</v>
      </c>
      <c r="B403" t="s">
        <v>30</v>
      </c>
      <c r="C403" s="1">
        <v>45713</v>
      </c>
      <c r="D403" t="s">
        <v>44</v>
      </c>
      <c r="E403" s="2">
        <v>0.83333333333333337</v>
      </c>
      <c r="F403" t="s">
        <v>45</v>
      </c>
      <c r="G403">
        <v>37</v>
      </c>
      <c r="H403">
        <v>33</v>
      </c>
      <c r="I403">
        <v>10.1</v>
      </c>
      <c r="J403">
        <v>19</v>
      </c>
      <c r="K403" t="s">
        <v>33</v>
      </c>
      <c r="L403">
        <v>0</v>
      </c>
      <c r="M403" t="s">
        <v>34</v>
      </c>
      <c r="N403">
        <v>39</v>
      </c>
      <c r="O403">
        <v>38</v>
      </c>
      <c r="P403">
        <v>6</v>
      </c>
      <c r="Q403">
        <v>0</v>
      </c>
      <c r="R403">
        <v>20</v>
      </c>
      <c r="S403">
        <v>2</v>
      </c>
      <c r="T403">
        <v>1</v>
      </c>
      <c r="U403">
        <v>0</v>
      </c>
      <c r="V403" t="s">
        <v>35</v>
      </c>
      <c r="W403">
        <v>0</v>
      </c>
      <c r="X403">
        <v>0.97435897435897401</v>
      </c>
      <c r="Y403">
        <v>1</v>
      </c>
      <c r="Z403">
        <v>1.9473684210526301</v>
      </c>
      <c r="AA403">
        <v>3.66336633663366</v>
      </c>
      <c r="AB403">
        <v>4</v>
      </c>
      <c r="AC403">
        <v>3.6613636363636299</v>
      </c>
    </row>
    <row r="404" spans="1:29" x14ac:dyDescent="0.35">
      <c r="A404" t="s">
        <v>484</v>
      </c>
      <c r="B404" t="s">
        <v>57</v>
      </c>
      <c r="C404" s="1">
        <v>45710</v>
      </c>
      <c r="D404" t="s">
        <v>50</v>
      </c>
      <c r="E404" s="2">
        <v>0.3125</v>
      </c>
      <c r="F404" t="s">
        <v>125</v>
      </c>
      <c r="G404">
        <v>122.625</v>
      </c>
      <c r="H404">
        <v>126</v>
      </c>
      <c r="I404">
        <v>14.2</v>
      </c>
      <c r="J404">
        <v>25</v>
      </c>
      <c r="K404" t="s">
        <v>46</v>
      </c>
      <c r="L404">
        <v>0</v>
      </c>
      <c r="M404" t="s">
        <v>69</v>
      </c>
      <c r="N404">
        <v>21</v>
      </c>
      <c r="O404">
        <v>19</v>
      </c>
      <c r="P404">
        <v>6.7</v>
      </c>
      <c r="Q404">
        <v>1</v>
      </c>
      <c r="R404">
        <v>7</v>
      </c>
      <c r="S404">
        <v>2</v>
      </c>
      <c r="T404">
        <v>5</v>
      </c>
      <c r="U404">
        <v>1</v>
      </c>
      <c r="V404" t="s">
        <v>47</v>
      </c>
      <c r="W404">
        <v>1</v>
      </c>
      <c r="X404">
        <v>0.90476190476190399</v>
      </c>
      <c r="Y404">
        <v>1</v>
      </c>
      <c r="Z404">
        <v>4.9050000000000002</v>
      </c>
      <c r="AA404">
        <v>8.63556338028169</v>
      </c>
      <c r="AB404">
        <v>-3.375</v>
      </c>
      <c r="AC404">
        <v>8.3255319148936096</v>
      </c>
    </row>
    <row r="405" spans="1:29" x14ac:dyDescent="0.35">
      <c r="A405" t="s">
        <v>485</v>
      </c>
      <c r="B405" t="s">
        <v>72</v>
      </c>
      <c r="C405" s="1">
        <v>45665</v>
      </c>
      <c r="D405" t="s">
        <v>78</v>
      </c>
      <c r="E405" s="2">
        <v>0.58333333333333337</v>
      </c>
      <c r="F405" t="s">
        <v>73</v>
      </c>
      <c r="G405">
        <v>46</v>
      </c>
      <c r="H405">
        <v>41</v>
      </c>
      <c r="I405">
        <v>11.6</v>
      </c>
      <c r="J405">
        <v>21</v>
      </c>
      <c r="K405" t="s">
        <v>33</v>
      </c>
      <c r="L405">
        <v>0</v>
      </c>
      <c r="M405" t="s">
        <v>34</v>
      </c>
      <c r="N405">
        <v>34</v>
      </c>
      <c r="O405">
        <v>32</v>
      </c>
      <c r="P405">
        <v>2.4</v>
      </c>
      <c r="Q405">
        <v>0</v>
      </c>
      <c r="R405">
        <v>14</v>
      </c>
      <c r="S405">
        <v>1</v>
      </c>
      <c r="T405">
        <v>2</v>
      </c>
      <c r="U405">
        <v>0</v>
      </c>
      <c r="V405" t="s">
        <v>35</v>
      </c>
      <c r="W405">
        <v>0</v>
      </c>
      <c r="X405">
        <v>0.94117647058823495</v>
      </c>
      <c r="Y405">
        <v>0</v>
      </c>
      <c r="Z405">
        <v>2.1904761904761898</v>
      </c>
      <c r="AA405">
        <v>3.9655172413793101</v>
      </c>
      <c r="AB405">
        <v>5</v>
      </c>
      <c r="AC405">
        <v>2.80217391304347</v>
      </c>
    </row>
    <row r="406" spans="1:29" x14ac:dyDescent="0.35">
      <c r="A406" t="s">
        <v>486</v>
      </c>
      <c r="B406" t="s">
        <v>65</v>
      </c>
      <c r="C406" s="1">
        <v>45713</v>
      </c>
      <c r="D406" t="s">
        <v>44</v>
      </c>
      <c r="E406" s="2">
        <v>0.5625</v>
      </c>
      <c r="F406" t="s">
        <v>39</v>
      </c>
      <c r="G406">
        <v>45</v>
      </c>
      <c r="H406">
        <v>45</v>
      </c>
      <c r="I406">
        <v>6.8</v>
      </c>
      <c r="J406">
        <v>12</v>
      </c>
      <c r="K406" t="s">
        <v>66</v>
      </c>
      <c r="L406">
        <v>0</v>
      </c>
      <c r="M406" t="s">
        <v>34</v>
      </c>
      <c r="N406">
        <v>25</v>
      </c>
      <c r="O406">
        <v>24</v>
      </c>
      <c r="P406">
        <v>4.3</v>
      </c>
      <c r="Q406">
        <v>0</v>
      </c>
      <c r="R406">
        <v>13</v>
      </c>
      <c r="S406">
        <v>2</v>
      </c>
      <c r="T406">
        <v>1</v>
      </c>
      <c r="U406">
        <v>0</v>
      </c>
      <c r="V406" t="s">
        <v>35</v>
      </c>
      <c r="W406">
        <v>0</v>
      </c>
      <c r="X406">
        <v>0.96</v>
      </c>
      <c r="Y406">
        <v>0</v>
      </c>
      <c r="Z406">
        <v>3.75</v>
      </c>
      <c r="AA406">
        <v>6.6176470588235299</v>
      </c>
      <c r="AB406">
        <v>0</v>
      </c>
      <c r="AC406">
        <v>2.7611111111111102</v>
      </c>
    </row>
    <row r="407" spans="1:29" x14ac:dyDescent="0.35">
      <c r="A407" t="s">
        <v>487</v>
      </c>
      <c r="B407" t="s">
        <v>43</v>
      </c>
      <c r="C407" s="1">
        <v>45687</v>
      </c>
      <c r="D407" t="s">
        <v>54</v>
      </c>
      <c r="E407" s="2">
        <v>0.29166666666666669</v>
      </c>
      <c r="F407" t="s">
        <v>39</v>
      </c>
      <c r="G407">
        <v>121</v>
      </c>
      <c r="H407">
        <v>104</v>
      </c>
      <c r="I407">
        <v>18.399999999999999</v>
      </c>
      <c r="J407">
        <v>32</v>
      </c>
      <c r="K407" t="s">
        <v>46</v>
      </c>
      <c r="L407">
        <v>0</v>
      </c>
      <c r="M407" t="s">
        <v>34</v>
      </c>
      <c r="N407">
        <v>37</v>
      </c>
      <c r="O407">
        <v>32</v>
      </c>
      <c r="P407">
        <v>9.8000000000000007</v>
      </c>
      <c r="Q407">
        <v>0</v>
      </c>
      <c r="R407">
        <v>7</v>
      </c>
      <c r="S407">
        <v>1</v>
      </c>
      <c r="T407">
        <v>3</v>
      </c>
      <c r="U407">
        <v>0</v>
      </c>
      <c r="V407" t="s">
        <v>47</v>
      </c>
      <c r="W407">
        <v>0</v>
      </c>
      <c r="X407">
        <v>0.86486486486486402</v>
      </c>
      <c r="Y407">
        <v>1</v>
      </c>
      <c r="Z407">
        <v>3.78125</v>
      </c>
      <c r="AA407">
        <v>6.5760869565217304</v>
      </c>
      <c r="AB407">
        <v>17</v>
      </c>
      <c r="AC407">
        <v>8.6013888888888896</v>
      </c>
    </row>
    <row r="408" spans="1:29" x14ac:dyDescent="0.35">
      <c r="A408" t="s">
        <v>488</v>
      </c>
      <c r="B408" t="s">
        <v>65</v>
      </c>
      <c r="C408" s="1">
        <v>45658</v>
      </c>
      <c r="D408" t="s">
        <v>78</v>
      </c>
      <c r="E408" s="2">
        <v>0.54166666666666663</v>
      </c>
      <c r="F408" t="s">
        <v>39</v>
      </c>
      <c r="G408">
        <v>32</v>
      </c>
      <c r="H408">
        <v>30</v>
      </c>
      <c r="I408">
        <v>6.8</v>
      </c>
      <c r="J408">
        <v>12</v>
      </c>
      <c r="K408" t="s">
        <v>66</v>
      </c>
      <c r="L408">
        <v>1</v>
      </c>
      <c r="M408" t="s">
        <v>34</v>
      </c>
      <c r="N408">
        <v>33</v>
      </c>
      <c r="O408">
        <v>31</v>
      </c>
      <c r="P408">
        <v>3.6</v>
      </c>
      <c r="Q408">
        <v>0</v>
      </c>
      <c r="R408">
        <v>13</v>
      </c>
      <c r="S408">
        <v>1</v>
      </c>
      <c r="T408">
        <v>2</v>
      </c>
      <c r="U408">
        <v>0</v>
      </c>
      <c r="V408" t="s">
        <v>35</v>
      </c>
      <c r="W408">
        <v>0</v>
      </c>
      <c r="X408">
        <v>0.939393939393939</v>
      </c>
      <c r="Y408">
        <v>0</v>
      </c>
      <c r="Z408">
        <v>2.6666666666666599</v>
      </c>
      <c r="AA408">
        <v>4.7058823529411704</v>
      </c>
      <c r="AB408">
        <v>2</v>
      </c>
      <c r="AC408">
        <v>2.7611111111111102</v>
      </c>
    </row>
    <row r="409" spans="1:29" x14ac:dyDescent="0.35">
      <c r="A409" t="s">
        <v>489</v>
      </c>
      <c r="B409" t="s">
        <v>65</v>
      </c>
      <c r="C409" s="1">
        <v>45672</v>
      </c>
      <c r="D409" t="s">
        <v>78</v>
      </c>
      <c r="E409" s="2">
        <v>0.84375</v>
      </c>
      <c r="F409" t="s">
        <v>104</v>
      </c>
      <c r="G409">
        <v>28</v>
      </c>
      <c r="H409">
        <v>27</v>
      </c>
      <c r="I409">
        <v>6.8</v>
      </c>
      <c r="J409">
        <v>12</v>
      </c>
      <c r="K409" t="s">
        <v>66</v>
      </c>
      <c r="L409">
        <v>0</v>
      </c>
      <c r="M409" t="s">
        <v>34</v>
      </c>
      <c r="N409">
        <v>39</v>
      </c>
      <c r="O409">
        <v>37</v>
      </c>
      <c r="P409">
        <v>2.8</v>
      </c>
      <c r="Q409">
        <v>0</v>
      </c>
      <c r="R409">
        <v>20</v>
      </c>
      <c r="S409">
        <v>1</v>
      </c>
      <c r="T409">
        <v>2</v>
      </c>
      <c r="U409">
        <v>0</v>
      </c>
      <c r="V409" t="s">
        <v>35</v>
      </c>
      <c r="W409">
        <v>0</v>
      </c>
      <c r="X409">
        <v>0.94871794871794801</v>
      </c>
      <c r="Y409">
        <v>0</v>
      </c>
      <c r="Z409">
        <v>2.3333333333333299</v>
      </c>
      <c r="AA409">
        <v>4.1176470588235299</v>
      </c>
      <c r="AB409">
        <v>1</v>
      </c>
      <c r="AC409">
        <v>2.7611111111111102</v>
      </c>
    </row>
    <row r="410" spans="1:29" x14ac:dyDescent="0.35">
      <c r="A410" t="s">
        <v>490</v>
      </c>
      <c r="B410" t="s">
        <v>49</v>
      </c>
      <c r="C410" s="1">
        <v>45710</v>
      </c>
      <c r="D410" t="s">
        <v>50</v>
      </c>
      <c r="E410" s="2">
        <v>0.8125</v>
      </c>
      <c r="F410" t="s">
        <v>82</v>
      </c>
      <c r="G410">
        <v>66</v>
      </c>
      <c r="H410">
        <v>64</v>
      </c>
      <c r="I410">
        <v>8.1999999999999993</v>
      </c>
      <c r="J410">
        <v>15</v>
      </c>
      <c r="K410" t="s">
        <v>51</v>
      </c>
      <c r="L410">
        <v>0</v>
      </c>
      <c r="M410" t="s">
        <v>69</v>
      </c>
      <c r="N410">
        <v>39</v>
      </c>
      <c r="O410">
        <v>37</v>
      </c>
      <c r="P410">
        <v>5.7</v>
      </c>
      <c r="Q410">
        <v>0</v>
      </c>
      <c r="R410">
        <v>19</v>
      </c>
      <c r="S410">
        <v>2</v>
      </c>
      <c r="T410">
        <v>5</v>
      </c>
      <c r="U410">
        <v>1</v>
      </c>
      <c r="V410" t="s">
        <v>41</v>
      </c>
      <c r="W410">
        <v>1</v>
      </c>
      <c r="X410">
        <v>0.94871794871794801</v>
      </c>
      <c r="Y410">
        <v>1</v>
      </c>
      <c r="Z410">
        <v>4.4000000000000004</v>
      </c>
      <c r="AA410">
        <v>8.0487804878048692</v>
      </c>
      <c r="AB410">
        <v>2</v>
      </c>
      <c r="AC410">
        <v>3.6937500000000001</v>
      </c>
    </row>
    <row r="411" spans="1:29" x14ac:dyDescent="0.35">
      <c r="A411" t="s">
        <v>491</v>
      </c>
      <c r="B411" t="s">
        <v>30</v>
      </c>
      <c r="C411" s="1">
        <v>45697</v>
      </c>
      <c r="D411" t="s">
        <v>31</v>
      </c>
      <c r="E411" s="2">
        <v>0.38541666666666669</v>
      </c>
      <c r="F411" t="s">
        <v>110</v>
      </c>
      <c r="G411">
        <v>49</v>
      </c>
      <c r="H411">
        <v>45</v>
      </c>
      <c r="I411">
        <v>10.1</v>
      </c>
      <c r="J411">
        <v>19</v>
      </c>
      <c r="K411" t="s">
        <v>33</v>
      </c>
      <c r="L411">
        <v>0</v>
      </c>
      <c r="M411" t="s">
        <v>34</v>
      </c>
      <c r="N411">
        <v>31</v>
      </c>
      <c r="O411">
        <v>30</v>
      </c>
      <c r="P411">
        <v>7.8</v>
      </c>
      <c r="Q411">
        <v>0</v>
      </c>
      <c r="R411">
        <v>9</v>
      </c>
      <c r="S411">
        <v>2</v>
      </c>
      <c r="T411">
        <v>6</v>
      </c>
      <c r="U411">
        <v>1</v>
      </c>
      <c r="V411" t="s">
        <v>47</v>
      </c>
      <c r="W411">
        <v>0</v>
      </c>
      <c r="X411">
        <v>0.967741935483871</v>
      </c>
      <c r="Y411">
        <v>1</v>
      </c>
      <c r="Z411">
        <v>2.57894736842105</v>
      </c>
      <c r="AA411">
        <v>4.8514851485148496</v>
      </c>
      <c r="AB411">
        <v>4</v>
      </c>
      <c r="AC411">
        <v>3.6613636363636299</v>
      </c>
    </row>
    <row r="412" spans="1:29" x14ac:dyDescent="0.35">
      <c r="A412" t="s">
        <v>492</v>
      </c>
      <c r="B412" t="s">
        <v>60</v>
      </c>
      <c r="C412" s="1">
        <v>45688</v>
      </c>
      <c r="D412" t="s">
        <v>38</v>
      </c>
      <c r="E412" s="2">
        <v>0.66666666666666663</v>
      </c>
      <c r="F412" t="s">
        <v>89</v>
      </c>
      <c r="G412">
        <v>35</v>
      </c>
      <c r="H412">
        <v>34</v>
      </c>
      <c r="I412">
        <v>12.5</v>
      </c>
      <c r="J412">
        <v>22</v>
      </c>
      <c r="K412" t="s">
        <v>51</v>
      </c>
      <c r="L412">
        <v>0</v>
      </c>
      <c r="M412" t="s">
        <v>34</v>
      </c>
      <c r="N412">
        <v>26</v>
      </c>
      <c r="O412">
        <v>25</v>
      </c>
      <c r="P412">
        <v>2.2000000000000002</v>
      </c>
      <c r="Q412">
        <v>0</v>
      </c>
      <c r="R412">
        <v>16</v>
      </c>
      <c r="S412">
        <v>1</v>
      </c>
      <c r="T412">
        <v>4</v>
      </c>
      <c r="U412">
        <v>0</v>
      </c>
      <c r="V412" t="s">
        <v>35</v>
      </c>
      <c r="W412">
        <v>0</v>
      </c>
      <c r="X412">
        <v>0.96153846153846101</v>
      </c>
      <c r="Y412">
        <v>0</v>
      </c>
      <c r="Z412">
        <v>1.5909090909090899</v>
      </c>
      <c r="AA412">
        <v>2.8</v>
      </c>
      <c r="AB412">
        <v>1</v>
      </c>
      <c r="AC412">
        <v>3.4760869565217298</v>
      </c>
    </row>
    <row r="413" spans="1:29" x14ac:dyDescent="0.35">
      <c r="A413" t="s">
        <v>493</v>
      </c>
      <c r="B413" t="s">
        <v>72</v>
      </c>
      <c r="C413" s="1">
        <v>45660</v>
      </c>
      <c r="D413" t="s">
        <v>38</v>
      </c>
      <c r="E413" s="2">
        <v>0.35416666666666669</v>
      </c>
      <c r="F413" t="s">
        <v>110</v>
      </c>
      <c r="G413">
        <v>75</v>
      </c>
      <c r="H413">
        <v>67</v>
      </c>
      <c r="I413">
        <v>11.6</v>
      </c>
      <c r="J413">
        <v>21</v>
      </c>
      <c r="K413" t="s">
        <v>33</v>
      </c>
      <c r="L413">
        <v>0</v>
      </c>
      <c r="M413" t="s">
        <v>34</v>
      </c>
      <c r="N413">
        <v>35</v>
      </c>
      <c r="O413">
        <v>34</v>
      </c>
      <c r="P413">
        <v>4.5999999999999996</v>
      </c>
      <c r="Q413">
        <v>0</v>
      </c>
      <c r="R413">
        <v>8</v>
      </c>
      <c r="S413">
        <v>1</v>
      </c>
      <c r="T413">
        <v>4</v>
      </c>
      <c r="U413">
        <v>0</v>
      </c>
      <c r="V413" t="s">
        <v>47</v>
      </c>
      <c r="W413">
        <v>0</v>
      </c>
      <c r="X413">
        <v>0.97142857142857097</v>
      </c>
      <c r="Y413">
        <v>0</v>
      </c>
      <c r="Z413">
        <v>3.5714285714285698</v>
      </c>
      <c r="AA413">
        <v>6.4655172413793096</v>
      </c>
      <c r="AB413">
        <v>8</v>
      </c>
      <c r="AC413">
        <v>2.80217391304347</v>
      </c>
    </row>
    <row r="414" spans="1:29" x14ac:dyDescent="0.35">
      <c r="A414" t="s">
        <v>494</v>
      </c>
      <c r="B414" t="s">
        <v>57</v>
      </c>
      <c r="C414" s="1">
        <v>45701</v>
      </c>
      <c r="D414" t="s">
        <v>54</v>
      </c>
      <c r="E414" s="2">
        <v>0.79166666666666663</v>
      </c>
      <c r="F414" t="s">
        <v>61</v>
      </c>
      <c r="G414">
        <v>97</v>
      </c>
      <c r="H414">
        <v>91</v>
      </c>
      <c r="I414">
        <v>14.2</v>
      </c>
      <c r="J414">
        <v>25</v>
      </c>
      <c r="K414" t="s">
        <v>46</v>
      </c>
      <c r="L414">
        <v>0</v>
      </c>
      <c r="M414" t="s">
        <v>34</v>
      </c>
      <c r="N414">
        <v>27</v>
      </c>
      <c r="O414">
        <v>24</v>
      </c>
      <c r="P414">
        <v>6.7</v>
      </c>
      <c r="Q414">
        <v>0</v>
      </c>
      <c r="R414">
        <v>19</v>
      </c>
      <c r="S414">
        <v>2</v>
      </c>
      <c r="T414">
        <v>3</v>
      </c>
      <c r="U414">
        <v>0</v>
      </c>
      <c r="V414" t="s">
        <v>41</v>
      </c>
      <c r="W414">
        <v>0</v>
      </c>
      <c r="X414">
        <v>0.88888888888888795</v>
      </c>
      <c r="Y414">
        <v>1</v>
      </c>
      <c r="Z414">
        <v>3.88</v>
      </c>
      <c r="AA414">
        <v>6.83098591549295</v>
      </c>
      <c r="AB414">
        <v>6</v>
      </c>
      <c r="AC414">
        <v>8.3255319148936096</v>
      </c>
    </row>
    <row r="415" spans="1:29" x14ac:dyDescent="0.35">
      <c r="A415" t="s">
        <v>495</v>
      </c>
      <c r="B415" t="s">
        <v>60</v>
      </c>
      <c r="C415" s="1">
        <v>45662</v>
      </c>
      <c r="D415" t="s">
        <v>31</v>
      </c>
      <c r="E415" s="2">
        <v>0.46875</v>
      </c>
      <c r="F415" t="s">
        <v>110</v>
      </c>
      <c r="G415">
        <v>22</v>
      </c>
      <c r="H415">
        <v>21</v>
      </c>
      <c r="I415">
        <v>12.5</v>
      </c>
      <c r="J415">
        <v>22</v>
      </c>
      <c r="K415" t="s">
        <v>51</v>
      </c>
      <c r="L415">
        <v>0</v>
      </c>
      <c r="M415" t="s">
        <v>34</v>
      </c>
      <c r="N415">
        <v>19</v>
      </c>
      <c r="O415">
        <v>18</v>
      </c>
      <c r="P415">
        <v>4.4000000000000004</v>
      </c>
      <c r="Q415">
        <v>0</v>
      </c>
      <c r="R415">
        <v>11</v>
      </c>
      <c r="S415">
        <v>1</v>
      </c>
      <c r="T415">
        <v>6</v>
      </c>
      <c r="U415">
        <v>1</v>
      </c>
      <c r="V415" t="s">
        <v>35</v>
      </c>
      <c r="W415">
        <v>0</v>
      </c>
      <c r="X415">
        <v>0.94736842105263097</v>
      </c>
      <c r="Y415">
        <v>0</v>
      </c>
      <c r="Z415">
        <v>1</v>
      </c>
      <c r="AA415">
        <v>1.76</v>
      </c>
      <c r="AB415">
        <v>1</v>
      </c>
      <c r="AC415">
        <v>3.4760869565217298</v>
      </c>
    </row>
    <row r="416" spans="1:29" x14ac:dyDescent="0.35">
      <c r="A416" t="s">
        <v>496</v>
      </c>
      <c r="B416" t="s">
        <v>106</v>
      </c>
      <c r="C416" s="1">
        <v>45659</v>
      </c>
      <c r="D416" t="s">
        <v>54</v>
      </c>
      <c r="E416" s="2">
        <v>0.33333333333333331</v>
      </c>
      <c r="F416" t="s">
        <v>32</v>
      </c>
      <c r="G416">
        <v>97</v>
      </c>
      <c r="H416">
        <v>91</v>
      </c>
      <c r="I416">
        <v>15</v>
      </c>
      <c r="J416">
        <v>28</v>
      </c>
      <c r="K416" t="s">
        <v>40</v>
      </c>
      <c r="L416">
        <v>0</v>
      </c>
      <c r="M416" t="s">
        <v>34</v>
      </c>
      <c r="N416">
        <v>21</v>
      </c>
      <c r="O416">
        <v>18</v>
      </c>
      <c r="P416">
        <v>7.9</v>
      </c>
      <c r="Q416">
        <v>0</v>
      </c>
      <c r="R416">
        <v>8</v>
      </c>
      <c r="S416">
        <v>1</v>
      </c>
      <c r="T416">
        <v>3</v>
      </c>
      <c r="U416">
        <v>0</v>
      </c>
      <c r="V416" t="s">
        <v>47</v>
      </c>
      <c r="W416">
        <v>0</v>
      </c>
      <c r="X416">
        <v>0.85714285714285698</v>
      </c>
      <c r="Y416">
        <v>1</v>
      </c>
      <c r="Z416">
        <v>3.46428571428571</v>
      </c>
      <c r="AA416">
        <v>6.4666666666666597</v>
      </c>
      <c r="AB416">
        <v>6</v>
      </c>
      <c r="AC416">
        <v>9.4749999999999996</v>
      </c>
    </row>
    <row r="417" spans="1:29" x14ac:dyDescent="0.35">
      <c r="A417" t="s">
        <v>497</v>
      </c>
      <c r="B417" t="s">
        <v>37</v>
      </c>
      <c r="C417" s="1">
        <v>45665</v>
      </c>
      <c r="D417" t="s">
        <v>78</v>
      </c>
      <c r="E417" s="2">
        <v>0.39583333333333331</v>
      </c>
      <c r="F417" t="s">
        <v>45</v>
      </c>
      <c r="G417">
        <v>63</v>
      </c>
      <c r="H417">
        <v>63</v>
      </c>
      <c r="I417">
        <v>9.5</v>
      </c>
      <c r="J417">
        <v>17</v>
      </c>
      <c r="K417" t="s">
        <v>40</v>
      </c>
      <c r="L417">
        <v>0</v>
      </c>
      <c r="M417" t="s">
        <v>34</v>
      </c>
      <c r="N417">
        <v>24</v>
      </c>
      <c r="O417">
        <v>24</v>
      </c>
      <c r="P417">
        <v>5.9</v>
      </c>
      <c r="Q417">
        <v>0</v>
      </c>
      <c r="R417">
        <v>9</v>
      </c>
      <c r="S417">
        <v>1</v>
      </c>
      <c r="T417">
        <v>2</v>
      </c>
      <c r="U417">
        <v>0</v>
      </c>
      <c r="V417" t="s">
        <v>47</v>
      </c>
      <c r="W417">
        <v>0</v>
      </c>
      <c r="X417">
        <v>1</v>
      </c>
      <c r="Y417">
        <v>1</v>
      </c>
      <c r="Z417">
        <v>3.70588235294117</v>
      </c>
      <c r="AA417">
        <v>6.6315789473684204</v>
      </c>
      <c r="AB417">
        <v>0</v>
      </c>
      <c r="AC417">
        <v>3.8470588235294101</v>
      </c>
    </row>
    <row r="418" spans="1:29" x14ac:dyDescent="0.35">
      <c r="A418" t="s">
        <v>498</v>
      </c>
      <c r="B418" t="s">
        <v>43</v>
      </c>
      <c r="C418" s="1">
        <v>45688</v>
      </c>
      <c r="D418" t="s">
        <v>38</v>
      </c>
      <c r="E418" s="2">
        <v>0.32291666666666669</v>
      </c>
      <c r="F418" t="s">
        <v>68</v>
      </c>
      <c r="G418">
        <v>116</v>
      </c>
      <c r="H418">
        <v>102</v>
      </c>
      <c r="I418">
        <v>18.399999999999999</v>
      </c>
      <c r="J418">
        <v>32</v>
      </c>
      <c r="K418" t="s">
        <v>46</v>
      </c>
      <c r="L418">
        <v>0</v>
      </c>
      <c r="M418" t="s">
        <v>34</v>
      </c>
      <c r="N418">
        <v>23</v>
      </c>
      <c r="O418">
        <v>21</v>
      </c>
      <c r="P418">
        <v>11.4</v>
      </c>
      <c r="Q418">
        <v>0</v>
      </c>
      <c r="R418">
        <v>7</v>
      </c>
      <c r="S418">
        <v>1</v>
      </c>
      <c r="T418">
        <v>4</v>
      </c>
      <c r="U418">
        <v>0</v>
      </c>
      <c r="V418" t="s">
        <v>47</v>
      </c>
      <c r="W418">
        <v>0</v>
      </c>
      <c r="X418">
        <v>0.91304347826086896</v>
      </c>
      <c r="Y418">
        <v>1</v>
      </c>
      <c r="Z418">
        <v>3.625</v>
      </c>
      <c r="AA418">
        <v>6.3043478260869499</v>
      </c>
      <c r="AB418">
        <v>14</v>
      </c>
      <c r="AC418">
        <v>8.6013888888888896</v>
      </c>
    </row>
    <row r="419" spans="1:29" x14ac:dyDescent="0.35">
      <c r="A419" t="s">
        <v>499</v>
      </c>
      <c r="B419" t="s">
        <v>65</v>
      </c>
      <c r="C419" s="1">
        <v>45704</v>
      </c>
      <c r="D419" t="s">
        <v>31</v>
      </c>
      <c r="E419" s="2">
        <v>0.26041666666666669</v>
      </c>
      <c r="F419" t="s">
        <v>45</v>
      </c>
      <c r="G419">
        <v>25</v>
      </c>
      <c r="H419">
        <v>23</v>
      </c>
      <c r="I419">
        <v>6.8</v>
      </c>
      <c r="J419">
        <v>12</v>
      </c>
      <c r="K419" t="s">
        <v>66</v>
      </c>
      <c r="L419">
        <v>0</v>
      </c>
      <c r="M419" t="s">
        <v>34</v>
      </c>
      <c r="N419">
        <v>26</v>
      </c>
      <c r="O419">
        <v>26</v>
      </c>
      <c r="P419">
        <v>1.8</v>
      </c>
      <c r="Q419">
        <v>0</v>
      </c>
      <c r="R419">
        <v>6</v>
      </c>
      <c r="S419">
        <v>2</v>
      </c>
      <c r="T419">
        <v>6</v>
      </c>
      <c r="U419">
        <v>1</v>
      </c>
      <c r="V419" t="s">
        <v>35</v>
      </c>
      <c r="W419">
        <v>0</v>
      </c>
      <c r="X419">
        <v>1</v>
      </c>
      <c r="Y419">
        <v>0</v>
      </c>
      <c r="Z419">
        <v>2.0833333333333299</v>
      </c>
      <c r="AA419">
        <v>3.6764705882352899</v>
      </c>
      <c r="AB419">
        <v>2</v>
      </c>
      <c r="AC419">
        <v>2.7611111111111102</v>
      </c>
    </row>
    <row r="420" spans="1:29" x14ac:dyDescent="0.35">
      <c r="A420" t="s">
        <v>500</v>
      </c>
      <c r="B420" t="s">
        <v>37</v>
      </c>
      <c r="C420" s="1">
        <v>45712</v>
      </c>
      <c r="D420" t="s">
        <v>87</v>
      </c>
      <c r="E420" s="2">
        <v>0.67708333333333337</v>
      </c>
      <c r="F420" t="s">
        <v>39</v>
      </c>
      <c r="G420">
        <v>39</v>
      </c>
      <c r="H420">
        <v>36</v>
      </c>
      <c r="I420">
        <v>9.5</v>
      </c>
      <c r="J420">
        <v>17</v>
      </c>
      <c r="K420" t="s">
        <v>40</v>
      </c>
      <c r="L420">
        <v>0</v>
      </c>
      <c r="M420" t="s">
        <v>34</v>
      </c>
      <c r="N420">
        <v>23</v>
      </c>
      <c r="O420">
        <v>22</v>
      </c>
      <c r="P420">
        <v>1.1000000000000001</v>
      </c>
      <c r="Q420">
        <v>0</v>
      </c>
      <c r="R420">
        <v>16</v>
      </c>
      <c r="S420">
        <v>2</v>
      </c>
      <c r="T420">
        <v>0</v>
      </c>
      <c r="U420">
        <v>0</v>
      </c>
      <c r="V420" t="s">
        <v>35</v>
      </c>
      <c r="W420">
        <v>0</v>
      </c>
      <c r="X420">
        <v>0.95652173913043403</v>
      </c>
      <c r="Y420">
        <v>0</v>
      </c>
      <c r="Z420">
        <v>2.2941176470588198</v>
      </c>
      <c r="AA420">
        <v>4.1052631578947301</v>
      </c>
      <c r="AB420">
        <v>3</v>
      </c>
      <c r="AC420">
        <v>3.8470588235294101</v>
      </c>
    </row>
    <row r="421" spans="1:29" x14ac:dyDescent="0.35">
      <c r="A421" t="s">
        <v>501</v>
      </c>
      <c r="B421" t="s">
        <v>106</v>
      </c>
      <c r="C421" s="1">
        <v>45687</v>
      </c>
      <c r="D421" t="s">
        <v>54</v>
      </c>
      <c r="E421" s="2">
        <v>0.77083333333333337</v>
      </c>
      <c r="F421" t="s">
        <v>82</v>
      </c>
      <c r="G421">
        <v>97</v>
      </c>
      <c r="H421">
        <v>94</v>
      </c>
      <c r="I421">
        <v>15</v>
      </c>
      <c r="J421">
        <v>28</v>
      </c>
      <c r="K421" t="s">
        <v>40</v>
      </c>
      <c r="L421">
        <v>0</v>
      </c>
      <c r="M421" t="s">
        <v>34</v>
      </c>
      <c r="N421">
        <v>34</v>
      </c>
      <c r="O421">
        <v>29</v>
      </c>
      <c r="P421">
        <v>9.1</v>
      </c>
      <c r="Q421">
        <v>1</v>
      </c>
      <c r="R421">
        <v>18</v>
      </c>
      <c r="S421">
        <v>1</v>
      </c>
      <c r="T421">
        <v>3</v>
      </c>
      <c r="U421">
        <v>0</v>
      </c>
      <c r="V421" t="s">
        <v>41</v>
      </c>
      <c r="W421">
        <v>0</v>
      </c>
      <c r="X421">
        <v>0.85294117647058798</v>
      </c>
      <c r="Y421">
        <v>1</v>
      </c>
      <c r="Z421">
        <v>3.46428571428571</v>
      </c>
      <c r="AA421">
        <v>6.4666666666666597</v>
      </c>
      <c r="AB421">
        <v>3</v>
      </c>
      <c r="AC421">
        <v>9.4749999999999996</v>
      </c>
    </row>
    <row r="422" spans="1:29" x14ac:dyDescent="0.35">
      <c r="A422" t="s">
        <v>502</v>
      </c>
      <c r="B422" t="s">
        <v>72</v>
      </c>
      <c r="C422" s="1">
        <v>45704</v>
      </c>
      <c r="D422" t="s">
        <v>31</v>
      </c>
      <c r="E422" s="2">
        <v>0.66666666666666663</v>
      </c>
      <c r="F422" t="s">
        <v>55</v>
      </c>
      <c r="G422">
        <v>36</v>
      </c>
      <c r="H422">
        <v>35</v>
      </c>
      <c r="I422">
        <v>11.6</v>
      </c>
      <c r="J422">
        <v>21</v>
      </c>
      <c r="K422" t="s">
        <v>33</v>
      </c>
      <c r="L422">
        <v>0</v>
      </c>
      <c r="M422" t="s">
        <v>34</v>
      </c>
      <c r="N422">
        <v>19</v>
      </c>
      <c r="O422">
        <v>19</v>
      </c>
      <c r="P422">
        <v>2.2000000000000002</v>
      </c>
      <c r="Q422">
        <v>0</v>
      </c>
      <c r="R422">
        <v>16</v>
      </c>
      <c r="S422">
        <v>2</v>
      </c>
      <c r="T422">
        <v>6</v>
      </c>
      <c r="U422">
        <v>1</v>
      </c>
      <c r="V422" t="s">
        <v>35</v>
      </c>
      <c r="W422">
        <v>0</v>
      </c>
      <c r="X422">
        <v>1</v>
      </c>
      <c r="Y422">
        <v>0</v>
      </c>
      <c r="Z422">
        <v>1.71428571428571</v>
      </c>
      <c r="AA422">
        <v>3.1034482758620601</v>
      </c>
      <c r="AB422">
        <v>1</v>
      </c>
      <c r="AC422">
        <v>2.80217391304347</v>
      </c>
    </row>
    <row r="423" spans="1:29" x14ac:dyDescent="0.35">
      <c r="A423" t="s">
        <v>503</v>
      </c>
      <c r="B423" t="s">
        <v>37</v>
      </c>
      <c r="C423" s="1">
        <v>45663</v>
      </c>
      <c r="D423" t="s">
        <v>87</v>
      </c>
      <c r="E423" s="2">
        <v>0.38541666666666669</v>
      </c>
      <c r="F423" t="s">
        <v>89</v>
      </c>
      <c r="G423">
        <v>61</v>
      </c>
      <c r="H423">
        <v>60</v>
      </c>
      <c r="I423">
        <v>9.5</v>
      </c>
      <c r="J423">
        <v>17</v>
      </c>
      <c r="K423" t="s">
        <v>40</v>
      </c>
      <c r="L423">
        <v>0</v>
      </c>
      <c r="M423" t="s">
        <v>34</v>
      </c>
      <c r="N423">
        <v>27</v>
      </c>
      <c r="O423">
        <v>26</v>
      </c>
      <c r="P423">
        <v>0.1</v>
      </c>
      <c r="Q423">
        <v>0</v>
      </c>
      <c r="R423">
        <v>9</v>
      </c>
      <c r="S423">
        <v>1</v>
      </c>
      <c r="T423">
        <v>0</v>
      </c>
      <c r="U423">
        <v>0</v>
      </c>
      <c r="V423" t="s">
        <v>47</v>
      </c>
      <c r="W423">
        <v>0</v>
      </c>
      <c r="X423">
        <v>0.96296296296296202</v>
      </c>
      <c r="Y423">
        <v>0</v>
      </c>
      <c r="Z423">
        <v>3.5882352941176401</v>
      </c>
      <c r="AA423">
        <v>6.4210526315789398</v>
      </c>
      <c r="AB423">
        <v>1</v>
      </c>
      <c r="AC423">
        <v>3.8470588235294101</v>
      </c>
    </row>
    <row r="424" spans="1:29" x14ac:dyDescent="0.35">
      <c r="A424" t="s">
        <v>504</v>
      </c>
      <c r="B424" t="s">
        <v>106</v>
      </c>
      <c r="C424" s="1">
        <v>45699</v>
      </c>
      <c r="D424" t="s">
        <v>44</v>
      </c>
      <c r="E424" s="2">
        <v>0.8125</v>
      </c>
      <c r="F424" t="s">
        <v>125</v>
      </c>
      <c r="G424">
        <v>115</v>
      </c>
      <c r="H424">
        <v>112</v>
      </c>
      <c r="I424">
        <v>15</v>
      </c>
      <c r="J424">
        <v>28</v>
      </c>
      <c r="K424" t="s">
        <v>40</v>
      </c>
      <c r="L424">
        <v>0</v>
      </c>
      <c r="M424" t="s">
        <v>34</v>
      </c>
      <c r="N424">
        <v>26</v>
      </c>
      <c r="O424">
        <v>25</v>
      </c>
      <c r="P424">
        <v>6.4</v>
      </c>
      <c r="Q424">
        <v>0</v>
      </c>
      <c r="R424">
        <v>19</v>
      </c>
      <c r="S424">
        <v>2</v>
      </c>
      <c r="T424">
        <v>1</v>
      </c>
      <c r="U424">
        <v>0</v>
      </c>
      <c r="V424" t="s">
        <v>41</v>
      </c>
      <c r="W424">
        <v>0</v>
      </c>
      <c r="X424">
        <v>0.96153846153846101</v>
      </c>
      <c r="Y424">
        <v>1</v>
      </c>
      <c r="Z424">
        <v>4.1071428571428497</v>
      </c>
      <c r="AA424">
        <v>7.6666666666666599</v>
      </c>
      <c r="AB424">
        <v>3</v>
      </c>
      <c r="AC424">
        <v>9.4749999999999996</v>
      </c>
    </row>
    <row r="425" spans="1:29" x14ac:dyDescent="0.35">
      <c r="A425" t="s">
        <v>505</v>
      </c>
      <c r="B425" t="s">
        <v>49</v>
      </c>
      <c r="C425" s="1">
        <v>45715</v>
      </c>
      <c r="D425" t="s">
        <v>54</v>
      </c>
      <c r="E425" s="2">
        <v>0.36458333333333331</v>
      </c>
      <c r="F425" t="s">
        <v>32</v>
      </c>
      <c r="G425">
        <v>74</v>
      </c>
      <c r="H425">
        <v>66</v>
      </c>
      <c r="I425">
        <v>8.1999999999999993</v>
      </c>
      <c r="J425">
        <v>15</v>
      </c>
      <c r="K425" t="s">
        <v>51</v>
      </c>
      <c r="L425">
        <v>0</v>
      </c>
      <c r="M425" t="s">
        <v>34</v>
      </c>
      <c r="N425">
        <v>21</v>
      </c>
      <c r="O425">
        <v>20</v>
      </c>
      <c r="P425">
        <v>5</v>
      </c>
      <c r="Q425">
        <v>0</v>
      </c>
      <c r="R425">
        <v>8</v>
      </c>
      <c r="S425">
        <v>2</v>
      </c>
      <c r="T425">
        <v>3</v>
      </c>
      <c r="U425">
        <v>0</v>
      </c>
      <c r="V425" t="s">
        <v>47</v>
      </c>
      <c r="W425">
        <v>0</v>
      </c>
      <c r="X425">
        <v>0.952380952380952</v>
      </c>
      <c r="Y425">
        <v>0</v>
      </c>
      <c r="Z425">
        <v>4.93333333333333</v>
      </c>
      <c r="AA425">
        <v>9.0243902439024399</v>
      </c>
      <c r="AB425">
        <v>8</v>
      </c>
      <c r="AC425">
        <v>3.6937500000000001</v>
      </c>
    </row>
    <row r="426" spans="1:29" x14ac:dyDescent="0.35">
      <c r="A426" t="s">
        <v>506</v>
      </c>
      <c r="B426" t="s">
        <v>57</v>
      </c>
      <c r="C426" s="1">
        <v>45702</v>
      </c>
      <c r="D426" t="s">
        <v>38</v>
      </c>
      <c r="E426" s="2">
        <v>0.57291666666666663</v>
      </c>
      <c r="F426" t="s">
        <v>45</v>
      </c>
      <c r="G426">
        <v>49</v>
      </c>
      <c r="H426">
        <v>47</v>
      </c>
      <c r="I426">
        <v>14.2</v>
      </c>
      <c r="J426">
        <v>25</v>
      </c>
      <c r="K426" t="s">
        <v>46</v>
      </c>
      <c r="L426">
        <v>0</v>
      </c>
      <c r="M426" t="s">
        <v>34</v>
      </c>
      <c r="N426">
        <v>26</v>
      </c>
      <c r="O426">
        <v>23</v>
      </c>
      <c r="P426">
        <v>6.4</v>
      </c>
      <c r="Q426">
        <v>0</v>
      </c>
      <c r="R426">
        <v>13</v>
      </c>
      <c r="S426">
        <v>2</v>
      </c>
      <c r="T426">
        <v>4</v>
      </c>
      <c r="U426">
        <v>0</v>
      </c>
      <c r="V426" t="s">
        <v>35</v>
      </c>
      <c r="W426">
        <v>0</v>
      </c>
      <c r="X426">
        <v>0.88461538461538403</v>
      </c>
      <c r="Y426">
        <v>1</v>
      </c>
      <c r="Z426">
        <v>1.96</v>
      </c>
      <c r="AA426">
        <v>3.4507042253521099</v>
      </c>
      <c r="AB426">
        <v>2</v>
      </c>
      <c r="AC426">
        <v>8.3255319148936096</v>
      </c>
    </row>
    <row r="427" spans="1:29" x14ac:dyDescent="0.35">
      <c r="A427" t="s">
        <v>507</v>
      </c>
      <c r="B427" t="s">
        <v>106</v>
      </c>
      <c r="C427" s="1">
        <v>45671</v>
      </c>
      <c r="D427" t="s">
        <v>44</v>
      </c>
      <c r="E427" s="2">
        <v>0.72916666666666663</v>
      </c>
      <c r="F427" t="s">
        <v>80</v>
      </c>
      <c r="G427">
        <v>109</v>
      </c>
      <c r="H427">
        <v>101</v>
      </c>
      <c r="I427">
        <v>15</v>
      </c>
      <c r="J427">
        <v>28</v>
      </c>
      <c r="K427" t="s">
        <v>40</v>
      </c>
      <c r="L427">
        <v>1</v>
      </c>
      <c r="M427" t="s">
        <v>34</v>
      </c>
      <c r="N427">
        <v>26</v>
      </c>
      <c r="O427">
        <v>22</v>
      </c>
      <c r="P427">
        <v>2.5</v>
      </c>
      <c r="Q427">
        <v>0</v>
      </c>
      <c r="R427">
        <v>17</v>
      </c>
      <c r="S427">
        <v>1</v>
      </c>
      <c r="T427">
        <v>1</v>
      </c>
      <c r="U427">
        <v>0</v>
      </c>
      <c r="V427" t="s">
        <v>41</v>
      </c>
      <c r="W427">
        <v>0</v>
      </c>
      <c r="X427">
        <v>0.84615384615384603</v>
      </c>
      <c r="Y427">
        <v>0</v>
      </c>
      <c r="Z427">
        <v>3.8928571428571401</v>
      </c>
      <c r="AA427">
        <v>7.2666666666666604</v>
      </c>
      <c r="AB427">
        <v>8</v>
      </c>
      <c r="AC427">
        <v>9.4749999999999996</v>
      </c>
    </row>
    <row r="428" spans="1:29" x14ac:dyDescent="0.35">
      <c r="A428" t="s">
        <v>508</v>
      </c>
      <c r="B428" t="s">
        <v>49</v>
      </c>
      <c r="C428" s="1">
        <v>45662</v>
      </c>
      <c r="D428" t="s">
        <v>31</v>
      </c>
      <c r="E428" s="2">
        <v>0.36458333333333331</v>
      </c>
      <c r="F428" t="s">
        <v>55</v>
      </c>
      <c r="G428">
        <v>52</v>
      </c>
      <c r="H428">
        <v>47</v>
      </c>
      <c r="I428">
        <v>8.1999999999999993</v>
      </c>
      <c r="J428">
        <v>15</v>
      </c>
      <c r="K428" t="s">
        <v>51</v>
      </c>
      <c r="L428">
        <v>0</v>
      </c>
      <c r="M428" t="s">
        <v>34</v>
      </c>
      <c r="N428">
        <v>25</v>
      </c>
      <c r="O428">
        <v>25</v>
      </c>
      <c r="P428">
        <v>0.5</v>
      </c>
      <c r="Q428">
        <v>0</v>
      </c>
      <c r="R428">
        <v>8</v>
      </c>
      <c r="S428">
        <v>1</v>
      </c>
      <c r="T428">
        <v>6</v>
      </c>
      <c r="U428">
        <v>1</v>
      </c>
      <c r="V428" t="s">
        <v>47</v>
      </c>
      <c r="W428">
        <v>0</v>
      </c>
      <c r="X428">
        <v>1</v>
      </c>
      <c r="Y428">
        <v>0</v>
      </c>
      <c r="Z428">
        <v>3.4666666666666601</v>
      </c>
      <c r="AA428">
        <v>6.3414634146341404</v>
      </c>
      <c r="AB428">
        <v>5</v>
      </c>
      <c r="AC428">
        <v>3.6937500000000001</v>
      </c>
    </row>
    <row r="429" spans="1:29" x14ac:dyDescent="0.35">
      <c r="A429" t="s">
        <v>509</v>
      </c>
      <c r="B429" t="s">
        <v>106</v>
      </c>
      <c r="C429" s="1">
        <v>45665</v>
      </c>
      <c r="D429" t="s">
        <v>78</v>
      </c>
      <c r="E429" s="2">
        <v>0.28125</v>
      </c>
      <c r="F429" t="s">
        <v>125</v>
      </c>
      <c r="G429">
        <v>66</v>
      </c>
      <c r="H429">
        <v>61</v>
      </c>
      <c r="I429">
        <v>15</v>
      </c>
      <c r="J429">
        <v>28</v>
      </c>
      <c r="K429" t="s">
        <v>40</v>
      </c>
      <c r="L429">
        <v>0</v>
      </c>
      <c r="M429" t="s">
        <v>34</v>
      </c>
      <c r="N429">
        <v>26</v>
      </c>
      <c r="O429">
        <v>21</v>
      </c>
      <c r="P429">
        <v>13.8</v>
      </c>
      <c r="Q429">
        <v>0</v>
      </c>
      <c r="R429">
        <v>6</v>
      </c>
      <c r="S429">
        <v>1</v>
      </c>
      <c r="T429">
        <v>2</v>
      </c>
      <c r="U429">
        <v>0</v>
      </c>
      <c r="V429" t="s">
        <v>35</v>
      </c>
      <c r="W429">
        <v>0</v>
      </c>
      <c r="X429">
        <v>0.80769230769230704</v>
      </c>
      <c r="Y429">
        <v>1</v>
      </c>
      <c r="Z429">
        <v>2.3571428571428501</v>
      </c>
      <c r="AA429">
        <v>4.4000000000000004</v>
      </c>
      <c r="AB429">
        <v>5</v>
      </c>
      <c r="AC429">
        <v>9.4749999999999996</v>
      </c>
    </row>
    <row r="430" spans="1:29" x14ac:dyDescent="0.35">
      <c r="A430" t="s">
        <v>510</v>
      </c>
      <c r="B430" t="s">
        <v>102</v>
      </c>
      <c r="C430" s="1">
        <v>45706</v>
      </c>
      <c r="D430" t="s">
        <v>44</v>
      </c>
      <c r="E430" s="2">
        <v>0.32291666666666669</v>
      </c>
      <c r="F430" t="s">
        <v>137</v>
      </c>
      <c r="G430">
        <v>72</v>
      </c>
      <c r="H430">
        <v>69</v>
      </c>
      <c r="I430">
        <v>7.3</v>
      </c>
      <c r="J430">
        <v>13</v>
      </c>
      <c r="K430" t="s">
        <v>66</v>
      </c>
      <c r="L430">
        <v>0</v>
      </c>
      <c r="M430" t="s">
        <v>34</v>
      </c>
      <c r="N430">
        <v>27</v>
      </c>
      <c r="O430">
        <v>26</v>
      </c>
      <c r="P430">
        <v>1</v>
      </c>
      <c r="Q430">
        <v>0</v>
      </c>
      <c r="R430">
        <v>7</v>
      </c>
      <c r="S430">
        <v>2</v>
      </c>
      <c r="T430">
        <v>1</v>
      </c>
      <c r="U430">
        <v>0</v>
      </c>
      <c r="V430" t="s">
        <v>47</v>
      </c>
      <c r="W430">
        <v>0</v>
      </c>
      <c r="X430">
        <v>0.96296296296296202</v>
      </c>
      <c r="Y430">
        <v>0</v>
      </c>
      <c r="Z430">
        <v>5.5384615384615303</v>
      </c>
      <c r="AA430">
        <v>9.8630136986301302</v>
      </c>
      <c r="AB430">
        <v>3</v>
      </c>
      <c r="AC430">
        <v>4.0518518518518496</v>
      </c>
    </row>
    <row r="431" spans="1:29" x14ac:dyDescent="0.35">
      <c r="A431" t="s">
        <v>511</v>
      </c>
      <c r="B431" t="s">
        <v>43</v>
      </c>
      <c r="C431" s="1">
        <v>45669</v>
      </c>
      <c r="D431" t="s">
        <v>31</v>
      </c>
      <c r="E431" s="2">
        <v>0.5625</v>
      </c>
      <c r="F431" t="s">
        <v>80</v>
      </c>
      <c r="G431">
        <v>43</v>
      </c>
      <c r="H431">
        <v>42</v>
      </c>
      <c r="I431">
        <v>18.399999999999999</v>
      </c>
      <c r="J431">
        <v>32</v>
      </c>
      <c r="K431" t="s">
        <v>46</v>
      </c>
      <c r="L431">
        <v>0</v>
      </c>
      <c r="M431" t="s">
        <v>34</v>
      </c>
      <c r="N431">
        <v>21</v>
      </c>
      <c r="O431">
        <v>17</v>
      </c>
      <c r="P431">
        <v>3.1</v>
      </c>
      <c r="Q431">
        <v>0</v>
      </c>
      <c r="R431">
        <v>13</v>
      </c>
      <c r="S431">
        <v>1</v>
      </c>
      <c r="T431">
        <v>6</v>
      </c>
      <c r="U431">
        <v>1</v>
      </c>
      <c r="V431" t="s">
        <v>35</v>
      </c>
      <c r="W431">
        <v>0</v>
      </c>
      <c r="X431">
        <v>0.80952380952380898</v>
      </c>
      <c r="Y431">
        <v>0</v>
      </c>
      <c r="Z431">
        <v>1.34375</v>
      </c>
      <c r="AA431">
        <v>2.3369565217391299</v>
      </c>
      <c r="AB431">
        <v>1</v>
      </c>
      <c r="AC431">
        <v>8.6013888888888896</v>
      </c>
    </row>
    <row r="432" spans="1:29" x14ac:dyDescent="0.35">
      <c r="A432" t="s">
        <v>512</v>
      </c>
      <c r="B432" t="s">
        <v>60</v>
      </c>
      <c r="C432" s="1">
        <v>45691</v>
      </c>
      <c r="D432" t="s">
        <v>87</v>
      </c>
      <c r="E432" s="2">
        <v>0.47916666666666669</v>
      </c>
      <c r="F432" t="s">
        <v>107</v>
      </c>
      <c r="G432">
        <v>43</v>
      </c>
      <c r="H432">
        <v>41</v>
      </c>
      <c r="I432">
        <v>12.5</v>
      </c>
      <c r="J432">
        <v>22</v>
      </c>
      <c r="K432" t="s">
        <v>51</v>
      </c>
      <c r="L432">
        <v>0</v>
      </c>
      <c r="M432" t="s">
        <v>34</v>
      </c>
      <c r="N432">
        <v>30</v>
      </c>
      <c r="O432">
        <v>30</v>
      </c>
      <c r="P432">
        <v>0.3</v>
      </c>
      <c r="Q432">
        <v>0</v>
      </c>
      <c r="R432">
        <v>11</v>
      </c>
      <c r="S432">
        <v>2</v>
      </c>
      <c r="T432">
        <v>0</v>
      </c>
      <c r="U432">
        <v>0</v>
      </c>
      <c r="V432" t="s">
        <v>35</v>
      </c>
      <c r="W432">
        <v>0</v>
      </c>
      <c r="X432">
        <v>1</v>
      </c>
      <c r="Y432">
        <v>0</v>
      </c>
      <c r="Z432">
        <v>1.9545454545454499</v>
      </c>
      <c r="AA432">
        <v>3.44</v>
      </c>
      <c r="AB432">
        <v>2</v>
      </c>
      <c r="AC432">
        <v>3.4760869565217298</v>
      </c>
    </row>
    <row r="433" spans="1:29" x14ac:dyDescent="0.35">
      <c r="A433" t="s">
        <v>513</v>
      </c>
      <c r="B433" t="s">
        <v>57</v>
      </c>
      <c r="C433" s="1">
        <v>45702</v>
      </c>
      <c r="D433" t="s">
        <v>38</v>
      </c>
      <c r="E433" s="2">
        <v>0.29166666666666669</v>
      </c>
      <c r="F433" t="s">
        <v>61</v>
      </c>
      <c r="G433">
        <v>93</v>
      </c>
      <c r="H433">
        <v>83</v>
      </c>
      <c r="I433">
        <v>14.2</v>
      </c>
      <c r="J433">
        <v>25</v>
      </c>
      <c r="K433" t="s">
        <v>46</v>
      </c>
      <c r="L433">
        <v>0</v>
      </c>
      <c r="M433" t="s">
        <v>34</v>
      </c>
      <c r="N433">
        <v>26</v>
      </c>
      <c r="O433">
        <v>23</v>
      </c>
      <c r="P433">
        <v>6.4</v>
      </c>
      <c r="Q433">
        <v>0</v>
      </c>
      <c r="R433">
        <v>7</v>
      </c>
      <c r="S433">
        <v>2</v>
      </c>
      <c r="T433">
        <v>4</v>
      </c>
      <c r="U433">
        <v>0</v>
      </c>
      <c r="V433" t="s">
        <v>47</v>
      </c>
      <c r="W433">
        <v>0</v>
      </c>
      <c r="X433">
        <v>0.88461538461538403</v>
      </c>
      <c r="Y433">
        <v>1</v>
      </c>
      <c r="Z433">
        <v>3.72</v>
      </c>
      <c r="AA433">
        <v>6.5492957746478799</v>
      </c>
      <c r="AB433">
        <v>10</v>
      </c>
      <c r="AC433">
        <v>8.3255319148936096</v>
      </c>
    </row>
    <row r="434" spans="1:29" x14ac:dyDescent="0.35">
      <c r="A434" t="s">
        <v>514</v>
      </c>
      <c r="B434" t="s">
        <v>72</v>
      </c>
      <c r="C434" s="1">
        <v>45704</v>
      </c>
      <c r="D434" t="s">
        <v>31</v>
      </c>
      <c r="E434" s="2">
        <v>0.30208333333333331</v>
      </c>
      <c r="F434" t="s">
        <v>61</v>
      </c>
      <c r="G434">
        <v>45</v>
      </c>
      <c r="H434">
        <v>42</v>
      </c>
      <c r="I434">
        <v>11.6</v>
      </c>
      <c r="J434">
        <v>21</v>
      </c>
      <c r="K434" t="s">
        <v>33</v>
      </c>
      <c r="L434">
        <v>0</v>
      </c>
      <c r="M434" t="s">
        <v>34</v>
      </c>
      <c r="N434">
        <v>19</v>
      </c>
      <c r="O434">
        <v>19</v>
      </c>
      <c r="P434">
        <v>2.2000000000000002</v>
      </c>
      <c r="Q434">
        <v>0</v>
      </c>
      <c r="R434">
        <v>7</v>
      </c>
      <c r="S434">
        <v>2</v>
      </c>
      <c r="T434">
        <v>6</v>
      </c>
      <c r="U434">
        <v>1</v>
      </c>
      <c r="V434" t="s">
        <v>47</v>
      </c>
      <c r="W434">
        <v>0</v>
      </c>
      <c r="X434">
        <v>1</v>
      </c>
      <c r="Y434">
        <v>0</v>
      </c>
      <c r="Z434">
        <v>2.1428571428571401</v>
      </c>
      <c r="AA434">
        <v>3.8793103448275801</v>
      </c>
      <c r="AB434">
        <v>3</v>
      </c>
      <c r="AC434">
        <v>2.80217391304347</v>
      </c>
    </row>
    <row r="435" spans="1:29" x14ac:dyDescent="0.35">
      <c r="A435" t="s">
        <v>515</v>
      </c>
      <c r="B435" t="s">
        <v>30</v>
      </c>
      <c r="C435" s="1">
        <v>45677</v>
      </c>
      <c r="D435" t="s">
        <v>87</v>
      </c>
      <c r="E435" s="2">
        <v>0.21875</v>
      </c>
      <c r="F435" t="s">
        <v>100</v>
      </c>
      <c r="G435">
        <v>35</v>
      </c>
      <c r="H435">
        <v>31</v>
      </c>
      <c r="I435">
        <v>10.1</v>
      </c>
      <c r="J435">
        <v>19</v>
      </c>
      <c r="K435" t="s">
        <v>33</v>
      </c>
      <c r="L435">
        <v>0</v>
      </c>
      <c r="M435" t="s">
        <v>34</v>
      </c>
      <c r="N435">
        <v>34</v>
      </c>
      <c r="O435">
        <v>33</v>
      </c>
      <c r="P435">
        <v>3.3</v>
      </c>
      <c r="Q435">
        <v>0</v>
      </c>
      <c r="R435">
        <v>5</v>
      </c>
      <c r="S435">
        <v>1</v>
      </c>
      <c r="T435">
        <v>0</v>
      </c>
      <c r="U435">
        <v>0</v>
      </c>
      <c r="V435" t="s">
        <v>35</v>
      </c>
      <c r="W435">
        <v>0</v>
      </c>
      <c r="X435">
        <v>0.97058823529411697</v>
      </c>
      <c r="Y435">
        <v>0</v>
      </c>
      <c r="Z435">
        <v>1.84210526315789</v>
      </c>
      <c r="AA435">
        <v>3.46534653465346</v>
      </c>
      <c r="AB435">
        <v>4</v>
      </c>
      <c r="AC435">
        <v>3.6613636363636299</v>
      </c>
    </row>
    <row r="436" spans="1:29" x14ac:dyDescent="0.35">
      <c r="A436" t="s">
        <v>516</v>
      </c>
      <c r="B436" t="s">
        <v>30</v>
      </c>
      <c r="C436" s="1">
        <v>45715</v>
      </c>
      <c r="D436" t="s">
        <v>54</v>
      </c>
      <c r="E436" s="2">
        <v>0.63541666666666663</v>
      </c>
      <c r="F436" t="s">
        <v>80</v>
      </c>
      <c r="G436">
        <v>50</v>
      </c>
      <c r="H436">
        <v>44</v>
      </c>
      <c r="I436">
        <v>10.1</v>
      </c>
      <c r="J436">
        <v>19</v>
      </c>
      <c r="K436" t="s">
        <v>33</v>
      </c>
      <c r="L436">
        <v>0</v>
      </c>
      <c r="M436" t="s">
        <v>34</v>
      </c>
      <c r="N436">
        <v>30</v>
      </c>
      <c r="O436">
        <v>30</v>
      </c>
      <c r="P436">
        <v>3.9</v>
      </c>
      <c r="Q436">
        <v>0</v>
      </c>
      <c r="R436">
        <v>15</v>
      </c>
      <c r="S436">
        <v>2</v>
      </c>
      <c r="T436">
        <v>3</v>
      </c>
      <c r="U436">
        <v>0</v>
      </c>
      <c r="V436" t="s">
        <v>35</v>
      </c>
      <c r="W436">
        <v>0</v>
      </c>
      <c r="X436">
        <v>1</v>
      </c>
      <c r="Y436">
        <v>0</v>
      </c>
      <c r="Z436">
        <v>2.6315789473684199</v>
      </c>
      <c r="AA436">
        <v>4.9504950495049496</v>
      </c>
      <c r="AB436">
        <v>6</v>
      </c>
      <c r="AC436">
        <v>3.6613636363636299</v>
      </c>
    </row>
    <row r="437" spans="1:29" x14ac:dyDescent="0.35">
      <c r="A437" t="s">
        <v>517</v>
      </c>
      <c r="B437" t="s">
        <v>57</v>
      </c>
      <c r="C437" s="1">
        <v>45703</v>
      </c>
      <c r="D437" t="s">
        <v>50</v>
      </c>
      <c r="E437" s="2">
        <v>0.34375</v>
      </c>
      <c r="F437" t="s">
        <v>100</v>
      </c>
      <c r="G437">
        <v>105</v>
      </c>
      <c r="H437">
        <v>98</v>
      </c>
      <c r="I437">
        <v>14.2</v>
      </c>
      <c r="J437">
        <v>25</v>
      </c>
      <c r="K437" t="s">
        <v>46</v>
      </c>
      <c r="L437">
        <v>0</v>
      </c>
      <c r="M437" t="s">
        <v>148</v>
      </c>
      <c r="N437">
        <v>30</v>
      </c>
      <c r="O437">
        <v>27</v>
      </c>
      <c r="P437">
        <v>11.1</v>
      </c>
      <c r="Q437">
        <v>0</v>
      </c>
      <c r="R437">
        <v>8</v>
      </c>
      <c r="S437">
        <v>2</v>
      </c>
      <c r="T437">
        <v>5</v>
      </c>
      <c r="U437">
        <v>1</v>
      </c>
      <c r="V437" t="s">
        <v>47</v>
      </c>
      <c r="W437">
        <v>1</v>
      </c>
      <c r="X437">
        <v>0.9</v>
      </c>
      <c r="Y437">
        <v>1</v>
      </c>
      <c r="Z437">
        <v>4.2</v>
      </c>
      <c r="AA437">
        <v>7.3943661971830901</v>
      </c>
      <c r="AB437">
        <v>7</v>
      </c>
      <c r="AC437">
        <v>8.3255319148936096</v>
      </c>
    </row>
    <row r="438" spans="1:29" x14ac:dyDescent="0.35">
      <c r="A438" t="s">
        <v>518</v>
      </c>
      <c r="B438" t="s">
        <v>30</v>
      </c>
      <c r="C438" s="1">
        <v>45693</v>
      </c>
      <c r="D438" t="s">
        <v>78</v>
      </c>
      <c r="E438" s="2">
        <v>0.65625</v>
      </c>
      <c r="F438" t="s">
        <v>84</v>
      </c>
      <c r="G438">
        <v>50</v>
      </c>
      <c r="H438">
        <v>47</v>
      </c>
      <c r="I438">
        <v>10.1</v>
      </c>
      <c r="J438">
        <v>19</v>
      </c>
      <c r="K438" t="s">
        <v>33</v>
      </c>
      <c r="L438">
        <v>0</v>
      </c>
      <c r="M438" t="s">
        <v>34</v>
      </c>
      <c r="N438">
        <v>21</v>
      </c>
      <c r="O438">
        <v>20</v>
      </c>
      <c r="P438">
        <v>1.6</v>
      </c>
      <c r="Q438">
        <v>0</v>
      </c>
      <c r="R438">
        <v>15</v>
      </c>
      <c r="S438">
        <v>2</v>
      </c>
      <c r="T438">
        <v>2</v>
      </c>
      <c r="U438">
        <v>0</v>
      </c>
      <c r="V438" t="s">
        <v>35</v>
      </c>
      <c r="W438">
        <v>0</v>
      </c>
      <c r="X438">
        <v>0.952380952380952</v>
      </c>
      <c r="Y438">
        <v>0</v>
      </c>
      <c r="Z438">
        <v>2.6315789473684199</v>
      </c>
      <c r="AA438">
        <v>4.9504950495049496</v>
      </c>
      <c r="AB438">
        <v>3</v>
      </c>
      <c r="AC438">
        <v>3.6613636363636299</v>
      </c>
    </row>
    <row r="439" spans="1:29" x14ac:dyDescent="0.35">
      <c r="A439" t="s">
        <v>519</v>
      </c>
      <c r="B439" t="s">
        <v>72</v>
      </c>
      <c r="C439" s="1">
        <v>45703</v>
      </c>
      <c r="D439" t="s">
        <v>50</v>
      </c>
      <c r="E439" s="2">
        <v>0.92708333333333337</v>
      </c>
      <c r="F439" t="s">
        <v>32</v>
      </c>
      <c r="G439">
        <v>37</v>
      </c>
      <c r="H439">
        <v>34</v>
      </c>
      <c r="I439">
        <v>11.6</v>
      </c>
      <c r="J439">
        <v>21</v>
      </c>
      <c r="K439" t="s">
        <v>33</v>
      </c>
      <c r="L439">
        <v>0</v>
      </c>
      <c r="M439" t="s">
        <v>148</v>
      </c>
      <c r="N439">
        <v>20</v>
      </c>
      <c r="O439">
        <v>19</v>
      </c>
      <c r="P439">
        <v>3.9</v>
      </c>
      <c r="Q439">
        <v>0</v>
      </c>
      <c r="R439">
        <v>22</v>
      </c>
      <c r="S439">
        <v>2</v>
      </c>
      <c r="T439">
        <v>5</v>
      </c>
      <c r="U439">
        <v>1</v>
      </c>
      <c r="V439" t="s">
        <v>35</v>
      </c>
      <c r="W439">
        <v>1</v>
      </c>
      <c r="X439">
        <v>0.95</v>
      </c>
      <c r="Y439">
        <v>0</v>
      </c>
      <c r="Z439">
        <v>1.7619047619047601</v>
      </c>
      <c r="AA439">
        <v>3.18965517241379</v>
      </c>
      <c r="AB439">
        <v>3</v>
      </c>
      <c r="AC439">
        <v>2.80217391304347</v>
      </c>
    </row>
    <row r="440" spans="1:29" x14ac:dyDescent="0.35">
      <c r="A440" t="s">
        <v>520</v>
      </c>
      <c r="B440" t="s">
        <v>106</v>
      </c>
      <c r="C440" s="1">
        <v>45717</v>
      </c>
      <c r="D440" t="s">
        <v>50</v>
      </c>
      <c r="E440" s="2">
        <v>0.4375</v>
      </c>
      <c r="F440" t="s">
        <v>39</v>
      </c>
      <c r="G440">
        <v>29</v>
      </c>
      <c r="H440">
        <v>27</v>
      </c>
      <c r="I440">
        <v>15</v>
      </c>
      <c r="J440">
        <v>28</v>
      </c>
      <c r="K440" t="s">
        <v>40</v>
      </c>
      <c r="L440">
        <v>0</v>
      </c>
      <c r="M440" t="s">
        <v>34</v>
      </c>
      <c r="N440">
        <v>21</v>
      </c>
      <c r="O440">
        <v>20</v>
      </c>
      <c r="P440">
        <v>10.6</v>
      </c>
      <c r="Q440">
        <v>0</v>
      </c>
      <c r="R440">
        <v>10</v>
      </c>
      <c r="S440">
        <v>3</v>
      </c>
      <c r="T440">
        <v>5</v>
      </c>
      <c r="U440">
        <v>1</v>
      </c>
      <c r="V440" t="s">
        <v>35</v>
      </c>
      <c r="W440">
        <v>0</v>
      </c>
      <c r="X440">
        <v>0.952380952380952</v>
      </c>
      <c r="Y440">
        <v>1</v>
      </c>
      <c r="Z440">
        <v>1.03571428571428</v>
      </c>
      <c r="AA440">
        <v>1.93333333333333</v>
      </c>
      <c r="AB440">
        <v>2</v>
      </c>
      <c r="AC440">
        <v>9.4749999999999996</v>
      </c>
    </row>
    <row r="441" spans="1:29" x14ac:dyDescent="0.35">
      <c r="A441" t="s">
        <v>521</v>
      </c>
      <c r="B441" t="s">
        <v>102</v>
      </c>
      <c r="C441" s="1">
        <v>45692</v>
      </c>
      <c r="D441" t="s">
        <v>44</v>
      </c>
      <c r="E441" s="2">
        <v>0.36458333333333331</v>
      </c>
      <c r="F441" t="s">
        <v>39</v>
      </c>
      <c r="G441">
        <v>63</v>
      </c>
      <c r="H441">
        <v>57</v>
      </c>
      <c r="I441">
        <v>7.3</v>
      </c>
      <c r="J441">
        <v>13</v>
      </c>
      <c r="K441" t="s">
        <v>66</v>
      </c>
      <c r="L441">
        <v>0</v>
      </c>
      <c r="M441" t="s">
        <v>34</v>
      </c>
      <c r="N441">
        <v>30</v>
      </c>
      <c r="O441">
        <v>30</v>
      </c>
      <c r="P441">
        <v>3.1</v>
      </c>
      <c r="Q441">
        <v>0</v>
      </c>
      <c r="R441">
        <v>8</v>
      </c>
      <c r="S441">
        <v>2</v>
      </c>
      <c r="T441">
        <v>1</v>
      </c>
      <c r="U441">
        <v>0</v>
      </c>
      <c r="V441" t="s">
        <v>47</v>
      </c>
      <c r="W441">
        <v>0</v>
      </c>
      <c r="X441">
        <v>1</v>
      </c>
      <c r="Y441">
        <v>0</v>
      </c>
      <c r="Z441">
        <v>4.8461538461538396</v>
      </c>
      <c r="AA441">
        <v>8.6301369863013697</v>
      </c>
      <c r="AB441">
        <v>6</v>
      </c>
      <c r="AC441">
        <v>4.0518518518518496</v>
      </c>
    </row>
    <row r="442" spans="1:29" x14ac:dyDescent="0.35">
      <c r="A442" t="s">
        <v>522</v>
      </c>
      <c r="B442" t="s">
        <v>72</v>
      </c>
      <c r="C442" s="1">
        <v>45680</v>
      </c>
      <c r="D442" t="s">
        <v>54</v>
      </c>
      <c r="E442" s="2">
        <v>0.64583333333333337</v>
      </c>
      <c r="F442" t="s">
        <v>55</v>
      </c>
      <c r="G442">
        <v>51</v>
      </c>
      <c r="H442">
        <v>44</v>
      </c>
      <c r="I442">
        <v>11.6</v>
      </c>
      <c r="J442">
        <v>21</v>
      </c>
      <c r="K442" t="s">
        <v>33</v>
      </c>
      <c r="L442">
        <v>0</v>
      </c>
      <c r="M442" t="s">
        <v>34</v>
      </c>
      <c r="N442">
        <v>37</v>
      </c>
      <c r="O442">
        <v>36</v>
      </c>
      <c r="P442">
        <v>7.2</v>
      </c>
      <c r="Q442">
        <v>0</v>
      </c>
      <c r="R442">
        <v>15</v>
      </c>
      <c r="S442">
        <v>1</v>
      </c>
      <c r="T442">
        <v>3</v>
      </c>
      <c r="U442">
        <v>0</v>
      </c>
      <c r="V442" t="s">
        <v>35</v>
      </c>
      <c r="W442">
        <v>0</v>
      </c>
      <c r="X442">
        <v>0.97297297297297303</v>
      </c>
      <c r="Y442">
        <v>1</v>
      </c>
      <c r="Z442">
        <v>2.4285714285714199</v>
      </c>
      <c r="AA442">
        <v>4.3965517241379297</v>
      </c>
      <c r="AB442">
        <v>7</v>
      </c>
      <c r="AC442">
        <v>2.80217391304347</v>
      </c>
    </row>
    <row r="443" spans="1:29" x14ac:dyDescent="0.35">
      <c r="A443" t="s">
        <v>523</v>
      </c>
      <c r="B443" t="s">
        <v>106</v>
      </c>
      <c r="C443" s="1">
        <v>45694</v>
      </c>
      <c r="D443" t="s">
        <v>54</v>
      </c>
      <c r="E443" s="2">
        <v>0.76041666666666663</v>
      </c>
      <c r="F443" t="s">
        <v>89</v>
      </c>
      <c r="G443">
        <v>103</v>
      </c>
      <c r="H443">
        <v>90</v>
      </c>
      <c r="I443">
        <v>15</v>
      </c>
      <c r="J443">
        <v>28</v>
      </c>
      <c r="K443" t="s">
        <v>40</v>
      </c>
      <c r="L443">
        <v>0</v>
      </c>
      <c r="M443" t="s">
        <v>34</v>
      </c>
      <c r="N443">
        <v>34</v>
      </c>
      <c r="O443">
        <v>32</v>
      </c>
      <c r="P443">
        <v>10.3</v>
      </c>
      <c r="Q443">
        <v>0</v>
      </c>
      <c r="R443">
        <v>18</v>
      </c>
      <c r="S443">
        <v>2</v>
      </c>
      <c r="T443">
        <v>3</v>
      </c>
      <c r="U443">
        <v>0</v>
      </c>
      <c r="V443" t="s">
        <v>41</v>
      </c>
      <c r="W443">
        <v>0</v>
      </c>
      <c r="X443">
        <v>0.94117647058823495</v>
      </c>
      <c r="Y443">
        <v>1</v>
      </c>
      <c r="Z443">
        <v>3.6785714285714199</v>
      </c>
      <c r="AA443">
        <v>6.86666666666666</v>
      </c>
      <c r="AB443">
        <v>13</v>
      </c>
      <c r="AC443">
        <v>9.4749999999999996</v>
      </c>
    </row>
    <row r="444" spans="1:29" x14ac:dyDescent="0.35">
      <c r="A444" t="s">
        <v>524</v>
      </c>
      <c r="B444" t="s">
        <v>43</v>
      </c>
      <c r="C444" s="1">
        <v>45685</v>
      </c>
      <c r="D444" t="s">
        <v>44</v>
      </c>
      <c r="E444" s="2">
        <v>0.29166666666666669</v>
      </c>
      <c r="F444" t="s">
        <v>68</v>
      </c>
      <c r="G444">
        <v>86</v>
      </c>
      <c r="H444">
        <v>78</v>
      </c>
      <c r="I444">
        <v>18.399999999999999</v>
      </c>
      <c r="J444">
        <v>32</v>
      </c>
      <c r="K444" t="s">
        <v>46</v>
      </c>
      <c r="L444">
        <v>0</v>
      </c>
      <c r="M444" t="s">
        <v>34</v>
      </c>
      <c r="N444">
        <v>31</v>
      </c>
      <c r="O444">
        <v>28</v>
      </c>
      <c r="P444">
        <v>3.8</v>
      </c>
      <c r="Q444">
        <v>0</v>
      </c>
      <c r="R444">
        <v>7</v>
      </c>
      <c r="S444">
        <v>1</v>
      </c>
      <c r="T444">
        <v>1</v>
      </c>
      <c r="U444">
        <v>0</v>
      </c>
      <c r="V444" t="s">
        <v>47</v>
      </c>
      <c r="W444">
        <v>0</v>
      </c>
      <c r="X444">
        <v>0.90322580645161199</v>
      </c>
      <c r="Y444">
        <v>0</v>
      </c>
      <c r="Z444">
        <v>2.6875</v>
      </c>
      <c r="AA444">
        <v>4.6739130434782599</v>
      </c>
      <c r="AB444">
        <v>8</v>
      </c>
      <c r="AC444">
        <v>8.6013888888888896</v>
      </c>
    </row>
    <row r="445" spans="1:29" x14ac:dyDescent="0.35">
      <c r="A445" t="s">
        <v>525</v>
      </c>
      <c r="B445" t="s">
        <v>57</v>
      </c>
      <c r="C445" s="1">
        <v>45682</v>
      </c>
      <c r="D445" t="s">
        <v>50</v>
      </c>
      <c r="E445" s="2">
        <v>0.625</v>
      </c>
      <c r="F445" t="s">
        <v>68</v>
      </c>
      <c r="G445">
        <v>36</v>
      </c>
      <c r="H445">
        <v>31</v>
      </c>
      <c r="I445">
        <v>14.2</v>
      </c>
      <c r="J445">
        <v>25</v>
      </c>
      <c r="K445" t="s">
        <v>46</v>
      </c>
      <c r="L445">
        <v>0</v>
      </c>
      <c r="M445" t="s">
        <v>69</v>
      </c>
      <c r="N445">
        <v>39</v>
      </c>
      <c r="O445">
        <v>32</v>
      </c>
      <c r="P445">
        <v>10.199999999999999</v>
      </c>
      <c r="Q445">
        <v>0</v>
      </c>
      <c r="R445">
        <v>15</v>
      </c>
      <c r="S445">
        <v>1</v>
      </c>
      <c r="T445">
        <v>5</v>
      </c>
      <c r="U445">
        <v>1</v>
      </c>
      <c r="V445" t="s">
        <v>35</v>
      </c>
      <c r="W445">
        <v>1</v>
      </c>
      <c r="X445">
        <v>0.82051282051282004</v>
      </c>
      <c r="Y445">
        <v>1</v>
      </c>
      <c r="Z445">
        <v>1.44</v>
      </c>
      <c r="AA445">
        <v>2.53521126760563</v>
      </c>
      <c r="AB445">
        <v>5</v>
      </c>
      <c r="AC445">
        <v>8.3255319148936096</v>
      </c>
    </row>
    <row r="446" spans="1:29" x14ac:dyDescent="0.35">
      <c r="A446" t="s">
        <v>526</v>
      </c>
      <c r="B446" t="s">
        <v>60</v>
      </c>
      <c r="C446" s="1">
        <v>45676</v>
      </c>
      <c r="D446" t="s">
        <v>31</v>
      </c>
      <c r="E446" s="2">
        <v>0.25</v>
      </c>
      <c r="F446" t="s">
        <v>39</v>
      </c>
      <c r="G446">
        <v>29</v>
      </c>
      <c r="H446">
        <v>25</v>
      </c>
      <c r="I446">
        <v>12.5</v>
      </c>
      <c r="J446">
        <v>22</v>
      </c>
      <c r="K446" t="s">
        <v>51</v>
      </c>
      <c r="L446">
        <v>0</v>
      </c>
      <c r="M446" t="s">
        <v>34</v>
      </c>
      <c r="N446">
        <v>29</v>
      </c>
      <c r="O446">
        <v>27</v>
      </c>
      <c r="P446">
        <v>2.7</v>
      </c>
      <c r="Q446">
        <v>1</v>
      </c>
      <c r="R446">
        <v>6</v>
      </c>
      <c r="S446">
        <v>1</v>
      </c>
      <c r="T446">
        <v>6</v>
      </c>
      <c r="U446">
        <v>1</v>
      </c>
      <c r="V446" t="s">
        <v>35</v>
      </c>
      <c r="W446">
        <v>0</v>
      </c>
      <c r="X446">
        <v>0.93103448275862</v>
      </c>
      <c r="Y446">
        <v>0</v>
      </c>
      <c r="Z446">
        <v>1.3181818181818099</v>
      </c>
      <c r="AA446">
        <v>2.3199999999999998</v>
      </c>
      <c r="AB446">
        <v>4</v>
      </c>
      <c r="AC446">
        <v>3.4760869565217298</v>
      </c>
    </row>
    <row r="447" spans="1:29" x14ac:dyDescent="0.35">
      <c r="A447" t="s">
        <v>527</v>
      </c>
      <c r="B447" t="s">
        <v>43</v>
      </c>
      <c r="C447" s="1">
        <v>45687</v>
      </c>
      <c r="D447" t="s">
        <v>54</v>
      </c>
      <c r="E447" s="2">
        <v>0.65625</v>
      </c>
      <c r="F447" t="s">
        <v>39</v>
      </c>
      <c r="G447">
        <v>50</v>
      </c>
      <c r="H447">
        <v>45</v>
      </c>
      <c r="I447">
        <v>18.399999999999999</v>
      </c>
      <c r="J447">
        <v>32</v>
      </c>
      <c r="K447" t="s">
        <v>46</v>
      </c>
      <c r="L447">
        <v>0</v>
      </c>
      <c r="M447" t="s">
        <v>34</v>
      </c>
      <c r="N447">
        <v>37</v>
      </c>
      <c r="O447">
        <v>32</v>
      </c>
      <c r="P447">
        <v>9.8000000000000007</v>
      </c>
      <c r="Q447">
        <v>0</v>
      </c>
      <c r="R447">
        <v>15</v>
      </c>
      <c r="S447">
        <v>1</v>
      </c>
      <c r="T447">
        <v>3</v>
      </c>
      <c r="U447">
        <v>0</v>
      </c>
      <c r="V447" t="s">
        <v>35</v>
      </c>
      <c r="W447">
        <v>0</v>
      </c>
      <c r="X447">
        <v>0.86486486486486402</v>
      </c>
      <c r="Y447">
        <v>1</v>
      </c>
      <c r="Z447">
        <v>1.5625</v>
      </c>
      <c r="AA447">
        <v>2.7173913043478199</v>
      </c>
      <c r="AB447">
        <v>5</v>
      </c>
      <c r="AC447">
        <v>8.6013888888888896</v>
      </c>
    </row>
    <row r="448" spans="1:29" x14ac:dyDescent="0.35">
      <c r="A448" t="s">
        <v>528</v>
      </c>
      <c r="B448" t="s">
        <v>60</v>
      </c>
      <c r="C448" s="1">
        <v>45692</v>
      </c>
      <c r="D448" t="s">
        <v>44</v>
      </c>
      <c r="E448" s="2">
        <v>0.52083333333333337</v>
      </c>
      <c r="F448" t="s">
        <v>39</v>
      </c>
      <c r="G448">
        <v>42</v>
      </c>
      <c r="H448">
        <v>40</v>
      </c>
      <c r="I448">
        <v>12.5</v>
      </c>
      <c r="J448">
        <v>22</v>
      </c>
      <c r="K448" t="s">
        <v>51</v>
      </c>
      <c r="L448">
        <v>0</v>
      </c>
      <c r="M448" t="s">
        <v>34</v>
      </c>
      <c r="N448">
        <v>22</v>
      </c>
      <c r="O448">
        <v>20</v>
      </c>
      <c r="P448">
        <v>6</v>
      </c>
      <c r="Q448">
        <v>0</v>
      </c>
      <c r="R448">
        <v>12</v>
      </c>
      <c r="S448">
        <v>2</v>
      </c>
      <c r="T448">
        <v>1</v>
      </c>
      <c r="U448">
        <v>0</v>
      </c>
      <c r="V448" t="s">
        <v>35</v>
      </c>
      <c r="W448">
        <v>0</v>
      </c>
      <c r="X448">
        <v>0.90909090909090895</v>
      </c>
      <c r="Y448">
        <v>1</v>
      </c>
      <c r="Z448">
        <v>1.9090909090909001</v>
      </c>
      <c r="AA448">
        <v>3.36</v>
      </c>
      <c r="AB448">
        <v>2</v>
      </c>
      <c r="AC448">
        <v>3.4760869565217298</v>
      </c>
    </row>
    <row r="449" spans="1:29" x14ac:dyDescent="0.35">
      <c r="A449" t="s">
        <v>529</v>
      </c>
      <c r="B449" t="s">
        <v>43</v>
      </c>
      <c r="C449" s="1">
        <v>45694</v>
      </c>
      <c r="D449" t="s">
        <v>54</v>
      </c>
      <c r="E449" s="2">
        <v>0.32291666666666669</v>
      </c>
      <c r="F449" t="s">
        <v>73</v>
      </c>
      <c r="G449">
        <v>98</v>
      </c>
      <c r="H449">
        <v>92</v>
      </c>
      <c r="I449">
        <v>18.399999999999999</v>
      </c>
      <c r="J449">
        <v>32</v>
      </c>
      <c r="K449" t="s">
        <v>46</v>
      </c>
      <c r="L449">
        <v>0</v>
      </c>
      <c r="M449" t="s">
        <v>34</v>
      </c>
      <c r="N449">
        <v>23</v>
      </c>
      <c r="O449">
        <v>21</v>
      </c>
      <c r="P449">
        <v>9.1999999999999993</v>
      </c>
      <c r="Q449">
        <v>0</v>
      </c>
      <c r="R449">
        <v>7</v>
      </c>
      <c r="S449">
        <v>2</v>
      </c>
      <c r="T449">
        <v>3</v>
      </c>
      <c r="U449">
        <v>0</v>
      </c>
      <c r="V449" t="s">
        <v>47</v>
      </c>
      <c r="W449">
        <v>0</v>
      </c>
      <c r="X449">
        <v>0.91304347826086896</v>
      </c>
      <c r="Y449">
        <v>1</v>
      </c>
      <c r="Z449">
        <v>3.0625</v>
      </c>
      <c r="AA449">
        <v>5.3260869565217304</v>
      </c>
      <c r="AB449">
        <v>6</v>
      </c>
      <c r="AC449">
        <v>8.6013888888888896</v>
      </c>
    </row>
    <row r="450" spans="1:29" x14ac:dyDescent="0.35">
      <c r="A450" t="s">
        <v>530</v>
      </c>
      <c r="B450" t="s">
        <v>49</v>
      </c>
      <c r="C450" s="1">
        <v>45658</v>
      </c>
      <c r="D450" t="s">
        <v>78</v>
      </c>
      <c r="E450" s="2">
        <v>0.64583333333333337</v>
      </c>
      <c r="F450" t="s">
        <v>58</v>
      </c>
      <c r="G450">
        <v>50</v>
      </c>
      <c r="H450">
        <v>47</v>
      </c>
      <c r="I450">
        <v>8.1999999999999993</v>
      </c>
      <c r="J450">
        <v>15</v>
      </c>
      <c r="K450" t="s">
        <v>51</v>
      </c>
      <c r="L450">
        <v>1</v>
      </c>
      <c r="M450" t="s">
        <v>34</v>
      </c>
      <c r="N450">
        <v>30</v>
      </c>
      <c r="O450">
        <v>29</v>
      </c>
      <c r="P450">
        <v>13.6</v>
      </c>
      <c r="Q450">
        <v>0</v>
      </c>
      <c r="R450">
        <v>15</v>
      </c>
      <c r="S450">
        <v>1</v>
      </c>
      <c r="T450">
        <v>2</v>
      </c>
      <c r="U450">
        <v>0</v>
      </c>
      <c r="V450" t="s">
        <v>35</v>
      </c>
      <c r="W450">
        <v>0</v>
      </c>
      <c r="X450">
        <v>0.96666666666666601</v>
      </c>
      <c r="Y450">
        <v>1</v>
      </c>
      <c r="Z450">
        <v>3.3333333333333299</v>
      </c>
      <c r="AA450">
        <v>6.09756097560975</v>
      </c>
      <c r="AB450">
        <v>3</v>
      </c>
      <c r="AC450">
        <v>3.6937500000000001</v>
      </c>
    </row>
    <row r="451" spans="1:29" x14ac:dyDescent="0.35">
      <c r="A451" t="s">
        <v>531</v>
      </c>
      <c r="B451" t="s">
        <v>30</v>
      </c>
      <c r="C451" s="1">
        <v>45684</v>
      </c>
      <c r="D451" t="s">
        <v>87</v>
      </c>
      <c r="E451" s="2">
        <v>0.60416666666666663</v>
      </c>
      <c r="F451" t="s">
        <v>32</v>
      </c>
      <c r="G451">
        <v>44</v>
      </c>
      <c r="H451">
        <v>42</v>
      </c>
      <c r="I451">
        <v>10.1</v>
      </c>
      <c r="J451">
        <v>19</v>
      </c>
      <c r="K451" t="s">
        <v>33</v>
      </c>
      <c r="L451">
        <v>0</v>
      </c>
      <c r="M451" t="s">
        <v>34</v>
      </c>
      <c r="N451">
        <v>34</v>
      </c>
      <c r="O451">
        <v>33</v>
      </c>
      <c r="P451">
        <v>0.7</v>
      </c>
      <c r="Q451">
        <v>0</v>
      </c>
      <c r="R451">
        <v>14</v>
      </c>
      <c r="S451">
        <v>1</v>
      </c>
      <c r="T451">
        <v>0</v>
      </c>
      <c r="U451">
        <v>0</v>
      </c>
      <c r="V451" t="s">
        <v>35</v>
      </c>
      <c r="W451">
        <v>0</v>
      </c>
      <c r="X451">
        <v>0.97058823529411697</v>
      </c>
      <c r="Y451">
        <v>0</v>
      </c>
      <c r="Z451">
        <v>2.3157894736842102</v>
      </c>
      <c r="AA451">
        <v>4.3564356435643496</v>
      </c>
      <c r="AB451">
        <v>2</v>
      </c>
      <c r="AC451">
        <v>3.6613636363636299</v>
      </c>
    </row>
    <row r="452" spans="1:29" x14ac:dyDescent="0.35">
      <c r="A452" t="s">
        <v>532</v>
      </c>
      <c r="B452" t="s">
        <v>106</v>
      </c>
      <c r="C452" s="1">
        <v>45679</v>
      </c>
      <c r="D452" t="s">
        <v>78</v>
      </c>
      <c r="E452" s="2">
        <v>0.9375</v>
      </c>
      <c r="F452" t="s">
        <v>68</v>
      </c>
      <c r="G452">
        <v>58</v>
      </c>
      <c r="H452">
        <v>56</v>
      </c>
      <c r="I452">
        <v>15</v>
      </c>
      <c r="J452">
        <v>28</v>
      </c>
      <c r="K452" t="s">
        <v>40</v>
      </c>
      <c r="L452">
        <v>0</v>
      </c>
      <c r="M452" t="s">
        <v>34</v>
      </c>
      <c r="N452">
        <v>33</v>
      </c>
      <c r="O452">
        <v>27</v>
      </c>
      <c r="P452">
        <v>4.2</v>
      </c>
      <c r="Q452">
        <v>0</v>
      </c>
      <c r="R452">
        <v>22</v>
      </c>
      <c r="S452">
        <v>1</v>
      </c>
      <c r="T452">
        <v>2</v>
      </c>
      <c r="U452">
        <v>0</v>
      </c>
      <c r="V452" t="s">
        <v>35</v>
      </c>
      <c r="W452">
        <v>0</v>
      </c>
      <c r="X452">
        <v>0.81818181818181801</v>
      </c>
      <c r="Y452">
        <v>0</v>
      </c>
      <c r="Z452">
        <v>2.0714285714285698</v>
      </c>
      <c r="AA452">
        <v>3.86666666666666</v>
      </c>
      <c r="AB452">
        <v>2</v>
      </c>
      <c r="AC452">
        <v>9.4749999999999996</v>
      </c>
    </row>
    <row r="453" spans="1:29" x14ac:dyDescent="0.35">
      <c r="A453" t="s">
        <v>533</v>
      </c>
      <c r="B453" t="s">
        <v>60</v>
      </c>
      <c r="C453" s="1">
        <v>45690</v>
      </c>
      <c r="D453" t="s">
        <v>31</v>
      </c>
      <c r="E453" s="2">
        <v>0.69791666666666663</v>
      </c>
      <c r="F453" t="s">
        <v>104</v>
      </c>
      <c r="G453">
        <v>31</v>
      </c>
      <c r="H453">
        <v>30</v>
      </c>
      <c r="I453">
        <v>12.5</v>
      </c>
      <c r="J453">
        <v>22</v>
      </c>
      <c r="K453" t="s">
        <v>51</v>
      </c>
      <c r="L453">
        <v>0</v>
      </c>
      <c r="M453" t="s">
        <v>34</v>
      </c>
      <c r="N453">
        <v>22</v>
      </c>
      <c r="O453">
        <v>21</v>
      </c>
      <c r="P453">
        <v>2.2999999999999998</v>
      </c>
      <c r="Q453">
        <v>0</v>
      </c>
      <c r="R453">
        <v>16</v>
      </c>
      <c r="S453">
        <v>2</v>
      </c>
      <c r="T453">
        <v>6</v>
      </c>
      <c r="U453">
        <v>1</v>
      </c>
      <c r="V453" t="s">
        <v>35</v>
      </c>
      <c r="W453">
        <v>0</v>
      </c>
      <c r="X453">
        <v>0.95454545454545403</v>
      </c>
      <c r="Y453">
        <v>0</v>
      </c>
      <c r="Z453">
        <v>1.4090909090909001</v>
      </c>
      <c r="AA453">
        <v>2.48</v>
      </c>
      <c r="AB453">
        <v>1</v>
      </c>
      <c r="AC453">
        <v>3.4760869565217298</v>
      </c>
    </row>
    <row r="454" spans="1:29" x14ac:dyDescent="0.35">
      <c r="A454" t="s">
        <v>534</v>
      </c>
      <c r="B454" t="s">
        <v>72</v>
      </c>
      <c r="C454" s="1">
        <v>45678</v>
      </c>
      <c r="D454" t="s">
        <v>44</v>
      </c>
      <c r="E454" s="2">
        <v>0.42708333333333331</v>
      </c>
      <c r="F454" t="s">
        <v>250</v>
      </c>
      <c r="G454">
        <v>43</v>
      </c>
      <c r="H454">
        <v>43</v>
      </c>
      <c r="I454">
        <v>11.6</v>
      </c>
      <c r="J454">
        <v>21</v>
      </c>
      <c r="K454" t="s">
        <v>33</v>
      </c>
      <c r="L454">
        <v>0</v>
      </c>
      <c r="M454" t="s">
        <v>34</v>
      </c>
      <c r="N454">
        <v>22</v>
      </c>
      <c r="O454">
        <v>21</v>
      </c>
      <c r="P454">
        <v>0.5</v>
      </c>
      <c r="Q454">
        <v>0</v>
      </c>
      <c r="R454">
        <v>10</v>
      </c>
      <c r="S454">
        <v>1</v>
      </c>
      <c r="T454">
        <v>1</v>
      </c>
      <c r="U454">
        <v>0</v>
      </c>
      <c r="V454" t="s">
        <v>35</v>
      </c>
      <c r="W454">
        <v>0</v>
      </c>
      <c r="X454">
        <v>0.95454545454545403</v>
      </c>
      <c r="Y454">
        <v>0</v>
      </c>
      <c r="Z454">
        <v>2.0476190476190399</v>
      </c>
      <c r="AA454">
        <v>3.7068965517241299</v>
      </c>
      <c r="AB454">
        <v>0</v>
      </c>
      <c r="AC454">
        <v>2.80217391304347</v>
      </c>
    </row>
    <row r="455" spans="1:29" x14ac:dyDescent="0.35">
      <c r="A455" t="s">
        <v>535</v>
      </c>
      <c r="B455" t="s">
        <v>60</v>
      </c>
      <c r="C455" s="1">
        <v>45712</v>
      </c>
      <c r="D455" t="s">
        <v>87</v>
      </c>
      <c r="E455" s="2">
        <v>0.5</v>
      </c>
      <c r="F455" t="s">
        <v>89</v>
      </c>
      <c r="G455">
        <v>50</v>
      </c>
      <c r="H455">
        <v>45</v>
      </c>
      <c r="I455">
        <v>12.5</v>
      </c>
      <c r="J455">
        <v>22</v>
      </c>
      <c r="K455" t="s">
        <v>51</v>
      </c>
      <c r="L455">
        <v>0</v>
      </c>
      <c r="M455" t="s">
        <v>34</v>
      </c>
      <c r="N455">
        <v>21</v>
      </c>
      <c r="O455">
        <v>20</v>
      </c>
      <c r="P455">
        <v>3.5</v>
      </c>
      <c r="Q455">
        <v>0</v>
      </c>
      <c r="R455">
        <v>12</v>
      </c>
      <c r="S455">
        <v>2</v>
      </c>
      <c r="T455">
        <v>0</v>
      </c>
      <c r="U455">
        <v>0</v>
      </c>
      <c r="V455" t="s">
        <v>35</v>
      </c>
      <c r="W455">
        <v>0</v>
      </c>
      <c r="X455">
        <v>0.952380952380952</v>
      </c>
      <c r="Y455">
        <v>0</v>
      </c>
      <c r="Z455">
        <v>2.2727272727272698</v>
      </c>
      <c r="AA455">
        <v>4</v>
      </c>
      <c r="AB455">
        <v>5</v>
      </c>
      <c r="AC455">
        <v>3.4760869565217298</v>
      </c>
    </row>
    <row r="456" spans="1:29" x14ac:dyDescent="0.35">
      <c r="A456" t="s">
        <v>536</v>
      </c>
      <c r="B456" t="s">
        <v>30</v>
      </c>
      <c r="C456" s="1">
        <v>45702</v>
      </c>
      <c r="D456" t="s">
        <v>38</v>
      </c>
      <c r="E456" s="2">
        <v>0.69791666666666663</v>
      </c>
      <c r="F456" t="s">
        <v>61</v>
      </c>
      <c r="G456">
        <v>49</v>
      </c>
      <c r="H456">
        <v>44</v>
      </c>
      <c r="I456">
        <v>10.1</v>
      </c>
      <c r="J456">
        <v>19</v>
      </c>
      <c r="K456" t="s">
        <v>33</v>
      </c>
      <c r="L456">
        <v>0</v>
      </c>
      <c r="M456" t="s">
        <v>34</v>
      </c>
      <c r="N456">
        <v>29</v>
      </c>
      <c r="O456">
        <v>29</v>
      </c>
      <c r="P456">
        <v>3.3</v>
      </c>
      <c r="Q456">
        <v>1</v>
      </c>
      <c r="R456">
        <v>16</v>
      </c>
      <c r="S456">
        <v>2</v>
      </c>
      <c r="T456">
        <v>4</v>
      </c>
      <c r="U456">
        <v>0</v>
      </c>
      <c r="V456" t="s">
        <v>35</v>
      </c>
      <c r="W456">
        <v>0</v>
      </c>
      <c r="X456">
        <v>1</v>
      </c>
      <c r="Y456">
        <v>0</v>
      </c>
      <c r="Z456">
        <v>2.57894736842105</v>
      </c>
      <c r="AA456">
        <v>4.8514851485148496</v>
      </c>
      <c r="AB456">
        <v>5</v>
      </c>
      <c r="AC456">
        <v>3.6613636363636299</v>
      </c>
    </row>
    <row r="457" spans="1:29" x14ac:dyDescent="0.35">
      <c r="A457" t="s">
        <v>537</v>
      </c>
      <c r="B457" t="s">
        <v>72</v>
      </c>
      <c r="C457" s="1">
        <v>45712</v>
      </c>
      <c r="D457" t="s">
        <v>87</v>
      </c>
      <c r="E457" s="2">
        <v>0.34375</v>
      </c>
      <c r="F457" t="s">
        <v>100</v>
      </c>
      <c r="G457">
        <v>72</v>
      </c>
      <c r="H457">
        <v>67</v>
      </c>
      <c r="I457">
        <v>11.6</v>
      </c>
      <c r="J457">
        <v>21</v>
      </c>
      <c r="K457" t="s">
        <v>33</v>
      </c>
      <c r="L457">
        <v>0</v>
      </c>
      <c r="M457" t="s">
        <v>34</v>
      </c>
      <c r="N457">
        <v>30</v>
      </c>
      <c r="O457">
        <v>29</v>
      </c>
      <c r="P457">
        <v>4.5</v>
      </c>
      <c r="Q457">
        <v>0</v>
      </c>
      <c r="R457">
        <v>8</v>
      </c>
      <c r="S457">
        <v>2</v>
      </c>
      <c r="T457">
        <v>0</v>
      </c>
      <c r="U457">
        <v>0</v>
      </c>
      <c r="V457" t="s">
        <v>47</v>
      </c>
      <c r="W457">
        <v>0</v>
      </c>
      <c r="X457">
        <v>0.96666666666666601</v>
      </c>
      <c r="Y457">
        <v>0</v>
      </c>
      <c r="Z457">
        <v>3.4285714285714199</v>
      </c>
      <c r="AA457">
        <v>6.2068965517241299</v>
      </c>
      <c r="AB457">
        <v>5</v>
      </c>
      <c r="AC457">
        <v>2.80217391304347</v>
      </c>
    </row>
    <row r="458" spans="1:29" x14ac:dyDescent="0.35">
      <c r="A458" t="s">
        <v>538</v>
      </c>
      <c r="B458" t="s">
        <v>57</v>
      </c>
      <c r="C458" s="1">
        <v>45706</v>
      </c>
      <c r="D458" t="s">
        <v>44</v>
      </c>
      <c r="E458" s="2">
        <v>0.36458333333333331</v>
      </c>
      <c r="F458" t="s">
        <v>107</v>
      </c>
      <c r="G458">
        <v>104</v>
      </c>
      <c r="H458">
        <v>89</v>
      </c>
      <c r="I458">
        <v>14.2</v>
      </c>
      <c r="J458">
        <v>25</v>
      </c>
      <c r="K458" t="s">
        <v>46</v>
      </c>
      <c r="L458">
        <v>0</v>
      </c>
      <c r="M458" t="s">
        <v>34</v>
      </c>
      <c r="N458">
        <v>23</v>
      </c>
      <c r="O458">
        <v>20</v>
      </c>
      <c r="P458">
        <v>2.2999999999999998</v>
      </c>
      <c r="Q458">
        <v>0</v>
      </c>
      <c r="R458">
        <v>8</v>
      </c>
      <c r="S458">
        <v>2</v>
      </c>
      <c r="T458">
        <v>1</v>
      </c>
      <c r="U458">
        <v>0</v>
      </c>
      <c r="V458" t="s">
        <v>47</v>
      </c>
      <c r="W458">
        <v>0</v>
      </c>
      <c r="X458">
        <v>0.86956521739130399</v>
      </c>
      <c r="Y458">
        <v>0</v>
      </c>
      <c r="Z458">
        <v>4.16</v>
      </c>
      <c r="AA458">
        <v>7.3239436619718301</v>
      </c>
      <c r="AB458">
        <v>15</v>
      </c>
      <c r="AC458">
        <v>8.3255319148936096</v>
      </c>
    </row>
    <row r="459" spans="1:29" x14ac:dyDescent="0.35">
      <c r="A459" t="s">
        <v>539</v>
      </c>
      <c r="B459" t="s">
        <v>57</v>
      </c>
      <c r="C459" s="1">
        <v>45708</v>
      </c>
      <c r="D459" t="s">
        <v>54</v>
      </c>
      <c r="E459" s="2">
        <v>0.34375</v>
      </c>
      <c r="F459" t="s">
        <v>89</v>
      </c>
      <c r="G459">
        <v>88</v>
      </c>
      <c r="H459">
        <v>85</v>
      </c>
      <c r="I459">
        <v>14.2</v>
      </c>
      <c r="J459">
        <v>25</v>
      </c>
      <c r="K459" t="s">
        <v>46</v>
      </c>
      <c r="L459">
        <v>0</v>
      </c>
      <c r="M459" t="s">
        <v>34</v>
      </c>
      <c r="N459">
        <v>20</v>
      </c>
      <c r="O459">
        <v>17</v>
      </c>
      <c r="P459">
        <v>6.6</v>
      </c>
      <c r="Q459">
        <v>0</v>
      </c>
      <c r="R459">
        <v>8</v>
      </c>
      <c r="S459">
        <v>2</v>
      </c>
      <c r="T459">
        <v>3</v>
      </c>
      <c r="U459">
        <v>0</v>
      </c>
      <c r="V459" t="s">
        <v>47</v>
      </c>
      <c r="W459">
        <v>0</v>
      </c>
      <c r="X459">
        <v>0.85</v>
      </c>
      <c r="Y459">
        <v>1</v>
      </c>
      <c r="Z459">
        <v>3.52</v>
      </c>
      <c r="AA459">
        <v>6.1971830985915499</v>
      </c>
      <c r="AB459">
        <v>3</v>
      </c>
      <c r="AC459">
        <v>8.3255319148936096</v>
      </c>
    </row>
    <row r="460" spans="1:29" x14ac:dyDescent="0.35">
      <c r="A460" t="s">
        <v>540</v>
      </c>
      <c r="B460" t="s">
        <v>102</v>
      </c>
      <c r="C460" s="1">
        <v>45707</v>
      </c>
      <c r="D460" t="s">
        <v>78</v>
      </c>
      <c r="E460" s="2">
        <v>0.72916666666666663</v>
      </c>
      <c r="F460" t="s">
        <v>68</v>
      </c>
      <c r="G460">
        <v>69</v>
      </c>
      <c r="H460">
        <v>69</v>
      </c>
      <c r="I460">
        <v>7.3</v>
      </c>
      <c r="J460">
        <v>13</v>
      </c>
      <c r="K460" t="s">
        <v>66</v>
      </c>
      <c r="L460">
        <v>0</v>
      </c>
      <c r="M460" t="s">
        <v>34</v>
      </c>
      <c r="N460">
        <v>37</v>
      </c>
      <c r="O460">
        <v>36</v>
      </c>
      <c r="P460">
        <v>10.4</v>
      </c>
      <c r="Q460">
        <v>0</v>
      </c>
      <c r="R460">
        <v>17</v>
      </c>
      <c r="S460">
        <v>2</v>
      </c>
      <c r="T460">
        <v>2</v>
      </c>
      <c r="U460">
        <v>0</v>
      </c>
      <c r="V460" t="s">
        <v>41</v>
      </c>
      <c r="W460">
        <v>0</v>
      </c>
      <c r="X460">
        <v>0.97297297297297303</v>
      </c>
      <c r="Y460">
        <v>1</v>
      </c>
      <c r="Z460">
        <v>5.3076923076923004</v>
      </c>
      <c r="AA460">
        <v>9.4520547945205404</v>
      </c>
      <c r="AB460">
        <v>0</v>
      </c>
      <c r="AC460">
        <v>4.0518518518518496</v>
      </c>
    </row>
    <row r="461" spans="1:29" x14ac:dyDescent="0.35">
      <c r="A461" t="s">
        <v>541</v>
      </c>
      <c r="B461" t="s">
        <v>30</v>
      </c>
      <c r="C461" s="1">
        <v>45704</v>
      </c>
      <c r="D461" t="s">
        <v>31</v>
      </c>
      <c r="E461" s="2">
        <v>0.83333333333333337</v>
      </c>
      <c r="F461" t="s">
        <v>97</v>
      </c>
      <c r="G461">
        <v>23</v>
      </c>
      <c r="H461">
        <v>21</v>
      </c>
      <c r="I461">
        <v>10.1</v>
      </c>
      <c r="J461">
        <v>19</v>
      </c>
      <c r="K461" t="s">
        <v>33</v>
      </c>
      <c r="L461">
        <v>0</v>
      </c>
      <c r="M461" t="s">
        <v>34</v>
      </c>
      <c r="N461">
        <v>34</v>
      </c>
      <c r="O461">
        <v>33</v>
      </c>
      <c r="P461">
        <v>13.8</v>
      </c>
      <c r="Q461">
        <v>0</v>
      </c>
      <c r="R461">
        <v>20</v>
      </c>
      <c r="S461">
        <v>2</v>
      </c>
      <c r="T461">
        <v>6</v>
      </c>
      <c r="U461">
        <v>1</v>
      </c>
      <c r="V461" t="s">
        <v>35</v>
      </c>
      <c r="W461">
        <v>0</v>
      </c>
      <c r="X461">
        <v>0.97058823529411697</v>
      </c>
      <c r="Y461">
        <v>1</v>
      </c>
      <c r="Z461">
        <v>1.2105263157894699</v>
      </c>
      <c r="AA461">
        <v>2.2772277227722699</v>
      </c>
      <c r="AB461">
        <v>2</v>
      </c>
      <c r="AC461">
        <v>3.6613636363636299</v>
      </c>
    </row>
    <row r="462" spans="1:29" x14ac:dyDescent="0.35">
      <c r="A462" t="s">
        <v>542</v>
      </c>
      <c r="B462" t="s">
        <v>57</v>
      </c>
      <c r="C462" s="1">
        <v>45683</v>
      </c>
      <c r="D462" t="s">
        <v>31</v>
      </c>
      <c r="E462" s="2">
        <v>0.36458333333333331</v>
      </c>
      <c r="F462" t="s">
        <v>110</v>
      </c>
      <c r="G462">
        <v>51</v>
      </c>
      <c r="H462">
        <v>46</v>
      </c>
      <c r="I462">
        <v>14.2</v>
      </c>
      <c r="J462">
        <v>25</v>
      </c>
      <c r="K462" t="s">
        <v>46</v>
      </c>
      <c r="L462">
        <v>1</v>
      </c>
      <c r="M462" t="s">
        <v>34</v>
      </c>
      <c r="N462">
        <v>39</v>
      </c>
      <c r="O462">
        <v>35</v>
      </c>
      <c r="P462">
        <v>3.9</v>
      </c>
      <c r="Q462">
        <v>0</v>
      </c>
      <c r="R462">
        <v>8</v>
      </c>
      <c r="S462">
        <v>1</v>
      </c>
      <c r="T462">
        <v>6</v>
      </c>
      <c r="U462">
        <v>1</v>
      </c>
      <c r="V462" t="s">
        <v>47</v>
      </c>
      <c r="W462">
        <v>0</v>
      </c>
      <c r="X462">
        <v>0.89743589743589702</v>
      </c>
      <c r="Y462">
        <v>0</v>
      </c>
      <c r="Z462">
        <v>2.04</v>
      </c>
      <c r="AA462">
        <v>3.59154929577464</v>
      </c>
      <c r="AB462">
        <v>5</v>
      </c>
      <c r="AC462">
        <v>8.3255319148936096</v>
      </c>
    </row>
    <row r="463" spans="1:29" x14ac:dyDescent="0.35">
      <c r="A463" t="s">
        <v>543</v>
      </c>
      <c r="B463" t="s">
        <v>60</v>
      </c>
      <c r="C463" s="1">
        <v>45672</v>
      </c>
      <c r="D463" t="s">
        <v>78</v>
      </c>
      <c r="E463" s="2">
        <v>0.28125</v>
      </c>
      <c r="F463" t="s">
        <v>89</v>
      </c>
      <c r="G463">
        <v>41</v>
      </c>
      <c r="H463">
        <v>41</v>
      </c>
      <c r="I463">
        <v>12.5</v>
      </c>
      <c r="J463">
        <v>22</v>
      </c>
      <c r="K463" t="s">
        <v>51</v>
      </c>
      <c r="L463">
        <v>0</v>
      </c>
      <c r="M463" t="s">
        <v>34</v>
      </c>
      <c r="N463">
        <v>25</v>
      </c>
      <c r="O463">
        <v>24</v>
      </c>
      <c r="P463">
        <v>2.7</v>
      </c>
      <c r="Q463">
        <v>1</v>
      </c>
      <c r="R463">
        <v>6</v>
      </c>
      <c r="S463">
        <v>1</v>
      </c>
      <c r="T463">
        <v>2</v>
      </c>
      <c r="U463">
        <v>0</v>
      </c>
      <c r="V463" t="s">
        <v>35</v>
      </c>
      <c r="W463">
        <v>0</v>
      </c>
      <c r="X463">
        <v>0.96</v>
      </c>
      <c r="Y463">
        <v>0</v>
      </c>
      <c r="Z463">
        <v>1.86363636363636</v>
      </c>
      <c r="AA463">
        <v>3.28</v>
      </c>
      <c r="AB463">
        <v>0</v>
      </c>
      <c r="AC463">
        <v>3.4760869565217298</v>
      </c>
    </row>
    <row r="464" spans="1:29" x14ac:dyDescent="0.35">
      <c r="A464" t="s">
        <v>544</v>
      </c>
      <c r="B464" t="s">
        <v>43</v>
      </c>
      <c r="C464" s="1">
        <v>45716</v>
      </c>
      <c r="D464" t="s">
        <v>38</v>
      </c>
      <c r="E464" s="2">
        <v>0.70833333333333337</v>
      </c>
      <c r="F464" t="s">
        <v>32</v>
      </c>
      <c r="G464">
        <v>107</v>
      </c>
      <c r="H464">
        <v>100</v>
      </c>
      <c r="I464">
        <v>18.399999999999999</v>
      </c>
      <c r="J464">
        <v>32</v>
      </c>
      <c r="K464" t="s">
        <v>46</v>
      </c>
      <c r="L464">
        <v>0</v>
      </c>
      <c r="M464" t="s">
        <v>34</v>
      </c>
      <c r="N464">
        <v>23</v>
      </c>
      <c r="O464">
        <v>20</v>
      </c>
      <c r="P464">
        <v>11</v>
      </c>
      <c r="Q464">
        <v>0</v>
      </c>
      <c r="R464">
        <v>17</v>
      </c>
      <c r="S464">
        <v>2</v>
      </c>
      <c r="T464">
        <v>4</v>
      </c>
      <c r="U464">
        <v>0</v>
      </c>
      <c r="V464" t="s">
        <v>41</v>
      </c>
      <c r="W464">
        <v>0</v>
      </c>
      <c r="X464">
        <v>0.86956521739130399</v>
      </c>
      <c r="Y464">
        <v>1</v>
      </c>
      <c r="Z464">
        <v>3.34375</v>
      </c>
      <c r="AA464">
        <v>5.8152173913043397</v>
      </c>
      <c r="AB464">
        <v>7</v>
      </c>
      <c r="AC464">
        <v>8.6013888888888896</v>
      </c>
    </row>
    <row r="465" spans="1:29" x14ac:dyDescent="0.35">
      <c r="A465" t="s">
        <v>545</v>
      </c>
      <c r="B465" t="s">
        <v>37</v>
      </c>
      <c r="C465" s="1">
        <v>45658</v>
      </c>
      <c r="D465" t="s">
        <v>78</v>
      </c>
      <c r="E465" s="2">
        <v>0.71875</v>
      </c>
      <c r="F465" t="s">
        <v>73</v>
      </c>
      <c r="G465">
        <v>71</v>
      </c>
      <c r="H465">
        <v>63</v>
      </c>
      <c r="I465">
        <v>9.5</v>
      </c>
      <c r="J465">
        <v>17</v>
      </c>
      <c r="K465" t="s">
        <v>40</v>
      </c>
      <c r="L465">
        <v>1</v>
      </c>
      <c r="M465" t="s">
        <v>34</v>
      </c>
      <c r="N465">
        <v>18</v>
      </c>
      <c r="O465">
        <v>17</v>
      </c>
      <c r="P465">
        <v>4.5</v>
      </c>
      <c r="Q465">
        <v>0</v>
      </c>
      <c r="R465">
        <v>17</v>
      </c>
      <c r="S465">
        <v>1</v>
      </c>
      <c r="T465">
        <v>2</v>
      </c>
      <c r="U465">
        <v>0</v>
      </c>
      <c r="V465" t="s">
        <v>41</v>
      </c>
      <c r="W465">
        <v>0</v>
      </c>
      <c r="X465">
        <v>0.94444444444444398</v>
      </c>
      <c r="Y465">
        <v>0</v>
      </c>
      <c r="Z465">
        <v>4.1764705882352899</v>
      </c>
      <c r="AA465">
        <v>7.4736842105263097</v>
      </c>
      <c r="AB465">
        <v>8</v>
      </c>
      <c r="AC465">
        <v>3.8470588235294101</v>
      </c>
    </row>
    <row r="466" spans="1:29" x14ac:dyDescent="0.35">
      <c r="A466" t="s">
        <v>546</v>
      </c>
      <c r="B466" t="s">
        <v>102</v>
      </c>
      <c r="C466" s="1">
        <v>45683</v>
      </c>
      <c r="D466" t="s">
        <v>31</v>
      </c>
      <c r="E466" s="2">
        <v>0.65625</v>
      </c>
      <c r="F466" t="s">
        <v>39</v>
      </c>
      <c r="G466">
        <v>22</v>
      </c>
      <c r="H466">
        <v>22</v>
      </c>
      <c r="I466">
        <v>7.3</v>
      </c>
      <c r="J466">
        <v>13</v>
      </c>
      <c r="K466" t="s">
        <v>66</v>
      </c>
      <c r="L466">
        <v>1</v>
      </c>
      <c r="M466" t="s">
        <v>34</v>
      </c>
      <c r="N466">
        <v>22</v>
      </c>
      <c r="O466">
        <v>21</v>
      </c>
      <c r="P466">
        <v>4.9000000000000004</v>
      </c>
      <c r="Q466">
        <v>0</v>
      </c>
      <c r="R466">
        <v>15</v>
      </c>
      <c r="S466">
        <v>1</v>
      </c>
      <c r="T466">
        <v>6</v>
      </c>
      <c r="U466">
        <v>1</v>
      </c>
      <c r="V466" t="s">
        <v>35</v>
      </c>
      <c r="W466">
        <v>0</v>
      </c>
      <c r="X466">
        <v>0.95454545454545403</v>
      </c>
      <c r="Y466">
        <v>0</v>
      </c>
      <c r="Z466">
        <v>1.6923076923076901</v>
      </c>
      <c r="AA466">
        <v>3.0136986301369801</v>
      </c>
      <c r="AB466">
        <v>0</v>
      </c>
      <c r="AC466">
        <v>4.0518518518518496</v>
      </c>
    </row>
    <row r="467" spans="1:29" x14ac:dyDescent="0.35">
      <c r="A467" t="s">
        <v>547</v>
      </c>
      <c r="B467" t="s">
        <v>37</v>
      </c>
      <c r="C467" s="1">
        <v>45708</v>
      </c>
      <c r="D467" t="s">
        <v>54</v>
      </c>
      <c r="E467" s="2">
        <v>0.72916666666666663</v>
      </c>
      <c r="F467" t="s">
        <v>32</v>
      </c>
      <c r="G467">
        <v>79</v>
      </c>
      <c r="H467">
        <v>69</v>
      </c>
      <c r="I467">
        <v>9.5</v>
      </c>
      <c r="J467">
        <v>17</v>
      </c>
      <c r="K467" t="s">
        <v>40</v>
      </c>
      <c r="L467">
        <v>0</v>
      </c>
      <c r="M467" t="s">
        <v>34</v>
      </c>
      <c r="N467">
        <v>22</v>
      </c>
      <c r="O467">
        <v>21</v>
      </c>
      <c r="P467">
        <v>8.1999999999999993</v>
      </c>
      <c r="Q467">
        <v>0</v>
      </c>
      <c r="R467">
        <v>17</v>
      </c>
      <c r="S467">
        <v>2</v>
      </c>
      <c r="T467">
        <v>3</v>
      </c>
      <c r="U467">
        <v>0</v>
      </c>
      <c r="V467" t="s">
        <v>41</v>
      </c>
      <c r="W467">
        <v>0</v>
      </c>
      <c r="X467">
        <v>0.95454545454545403</v>
      </c>
      <c r="Y467">
        <v>1</v>
      </c>
      <c r="Z467">
        <v>4.6470588235294104</v>
      </c>
      <c r="AA467">
        <v>8.3157894736842106</v>
      </c>
      <c r="AB467">
        <v>10</v>
      </c>
      <c r="AC467">
        <v>3.8470588235294101</v>
      </c>
    </row>
    <row r="468" spans="1:29" x14ac:dyDescent="0.35">
      <c r="A468" t="s">
        <v>548</v>
      </c>
      <c r="B468" t="s">
        <v>49</v>
      </c>
      <c r="C468" s="1">
        <v>45712</v>
      </c>
      <c r="D468" t="s">
        <v>87</v>
      </c>
      <c r="E468" s="2">
        <v>0.70833333333333337</v>
      </c>
      <c r="F468" t="s">
        <v>107</v>
      </c>
      <c r="G468">
        <v>56</v>
      </c>
      <c r="H468">
        <v>53</v>
      </c>
      <c r="I468">
        <v>8.1999999999999993</v>
      </c>
      <c r="J468">
        <v>15</v>
      </c>
      <c r="K468" t="s">
        <v>51</v>
      </c>
      <c r="L468">
        <v>0</v>
      </c>
      <c r="M468" t="s">
        <v>34</v>
      </c>
      <c r="N468">
        <v>27</v>
      </c>
      <c r="O468">
        <v>27</v>
      </c>
      <c r="P468">
        <v>6.5</v>
      </c>
      <c r="Q468">
        <v>0</v>
      </c>
      <c r="R468">
        <v>17</v>
      </c>
      <c r="S468">
        <v>2</v>
      </c>
      <c r="T468">
        <v>0</v>
      </c>
      <c r="U468">
        <v>0</v>
      </c>
      <c r="V468" t="s">
        <v>41</v>
      </c>
      <c r="W468">
        <v>0</v>
      </c>
      <c r="X468">
        <v>1</v>
      </c>
      <c r="Y468">
        <v>1</v>
      </c>
      <c r="Z468">
        <v>3.7333333333333298</v>
      </c>
      <c r="AA468">
        <v>6.8292682926829196</v>
      </c>
      <c r="AB468">
        <v>3</v>
      </c>
      <c r="AC468">
        <v>3.6937500000000001</v>
      </c>
    </row>
    <row r="469" spans="1:29" x14ac:dyDescent="0.35">
      <c r="A469" t="s">
        <v>549</v>
      </c>
      <c r="B469" t="s">
        <v>43</v>
      </c>
      <c r="C469" s="1">
        <v>45695</v>
      </c>
      <c r="D469" t="s">
        <v>38</v>
      </c>
      <c r="E469" s="2">
        <v>0.30208333333333331</v>
      </c>
      <c r="F469" t="s">
        <v>68</v>
      </c>
      <c r="G469">
        <v>120</v>
      </c>
      <c r="H469">
        <v>113</v>
      </c>
      <c r="I469">
        <v>18.399999999999999</v>
      </c>
      <c r="J469">
        <v>32</v>
      </c>
      <c r="K469" t="s">
        <v>46</v>
      </c>
      <c r="L469">
        <v>0</v>
      </c>
      <c r="M469" t="s">
        <v>34</v>
      </c>
      <c r="N469">
        <v>36</v>
      </c>
      <c r="O469">
        <v>29</v>
      </c>
      <c r="P469">
        <v>8.3000000000000007</v>
      </c>
      <c r="Q469">
        <v>0</v>
      </c>
      <c r="R469">
        <v>7</v>
      </c>
      <c r="S469">
        <v>2</v>
      </c>
      <c r="T469">
        <v>4</v>
      </c>
      <c r="U469">
        <v>0</v>
      </c>
      <c r="V469" t="s">
        <v>47</v>
      </c>
      <c r="W469">
        <v>0</v>
      </c>
      <c r="X469">
        <v>0.80555555555555503</v>
      </c>
      <c r="Y469">
        <v>1</v>
      </c>
      <c r="Z469">
        <v>3.75</v>
      </c>
      <c r="AA469">
        <v>6.5217391304347796</v>
      </c>
      <c r="AB469">
        <v>7</v>
      </c>
      <c r="AC469">
        <v>8.6013888888888896</v>
      </c>
    </row>
    <row r="470" spans="1:29" x14ac:dyDescent="0.35">
      <c r="A470" t="s">
        <v>550</v>
      </c>
      <c r="B470" t="s">
        <v>60</v>
      </c>
      <c r="C470" s="1">
        <v>45713</v>
      </c>
      <c r="D470" t="s">
        <v>44</v>
      </c>
      <c r="E470" s="2">
        <v>0.33333333333333331</v>
      </c>
      <c r="F470" t="s">
        <v>110</v>
      </c>
      <c r="G470">
        <v>82</v>
      </c>
      <c r="H470">
        <v>71</v>
      </c>
      <c r="I470">
        <v>12.5</v>
      </c>
      <c r="J470">
        <v>22</v>
      </c>
      <c r="K470" t="s">
        <v>51</v>
      </c>
      <c r="L470">
        <v>0</v>
      </c>
      <c r="M470" t="s">
        <v>34</v>
      </c>
      <c r="N470">
        <v>28</v>
      </c>
      <c r="O470">
        <v>28</v>
      </c>
      <c r="P470">
        <v>4.5</v>
      </c>
      <c r="Q470">
        <v>0</v>
      </c>
      <c r="R470">
        <v>8</v>
      </c>
      <c r="S470">
        <v>2</v>
      </c>
      <c r="T470">
        <v>1</v>
      </c>
      <c r="U470">
        <v>0</v>
      </c>
      <c r="V470" t="s">
        <v>47</v>
      </c>
      <c r="W470">
        <v>0</v>
      </c>
      <c r="X470">
        <v>1</v>
      </c>
      <c r="Y470">
        <v>0</v>
      </c>
      <c r="Z470">
        <v>3.72727272727272</v>
      </c>
      <c r="AA470">
        <v>6.56</v>
      </c>
      <c r="AB470">
        <v>11</v>
      </c>
      <c r="AC470">
        <v>3.4760869565217298</v>
      </c>
    </row>
    <row r="471" spans="1:29" x14ac:dyDescent="0.35">
      <c r="A471" t="s">
        <v>551</v>
      </c>
      <c r="B471" t="s">
        <v>60</v>
      </c>
      <c r="C471" s="1">
        <v>45662</v>
      </c>
      <c r="D471" t="s">
        <v>31</v>
      </c>
      <c r="E471" s="2">
        <v>0.82291666666666663</v>
      </c>
      <c r="F471" t="s">
        <v>55</v>
      </c>
      <c r="G471">
        <v>57</v>
      </c>
      <c r="H471">
        <v>55</v>
      </c>
      <c r="I471">
        <v>12.5</v>
      </c>
      <c r="J471">
        <v>22</v>
      </c>
      <c r="K471" t="s">
        <v>51</v>
      </c>
      <c r="L471">
        <v>0</v>
      </c>
      <c r="M471" t="s">
        <v>34</v>
      </c>
      <c r="N471">
        <v>19</v>
      </c>
      <c r="O471">
        <v>18</v>
      </c>
      <c r="P471">
        <v>4.4000000000000004</v>
      </c>
      <c r="Q471">
        <v>0</v>
      </c>
      <c r="R471">
        <v>19</v>
      </c>
      <c r="S471">
        <v>1</v>
      </c>
      <c r="T471">
        <v>6</v>
      </c>
      <c r="U471">
        <v>1</v>
      </c>
      <c r="V471" t="s">
        <v>41</v>
      </c>
      <c r="W471">
        <v>0</v>
      </c>
      <c r="X471">
        <v>0.94736842105263097</v>
      </c>
      <c r="Y471">
        <v>0</v>
      </c>
      <c r="Z471">
        <v>2.5909090909090899</v>
      </c>
      <c r="AA471">
        <v>4.5599999999999996</v>
      </c>
      <c r="AB471">
        <v>2</v>
      </c>
      <c r="AC471">
        <v>3.4760869565217298</v>
      </c>
    </row>
    <row r="472" spans="1:29" x14ac:dyDescent="0.35">
      <c r="A472" t="s">
        <v>552</v>
      </c>
      <c r="B472" t="s">
        <v>72</v>
      </c>
      <c r="C472" s="1">
        <v>45689</v>
      </c>
      <c r="D472" t="s">
        <v>50</v>
      </c>
      <c r="E472" s="2">
        <v>0.65625</v>
      </c>
      <c r="F472" t="s">
        <v>100</v>
      </c>
      <c r="G472">
        <v>30</v>
      </c>
      <c r="H472">
        <v>28</v>
      </c>
      <c r="I472">
        <v>11.6</v>
      </c>
      <c r="J472">
        <v>21</v>
      </c>
      <c r="K472" t="s">
        <v>33</v>
      </c>
      <c r="L472">
        <v>0</v>
      </c>
      <c r="M472" t="s">
        <v>34</v>
      </c>
      <c r="N472">
        <v>39</v>
      </c>
      <c r="O472">
        <v>36</v>
      </c>
      <c r="P472">
        <v>2</v>
      </c>
      <c r="Q472">
        <v>0</v>
      </c>
      <c r="R472">
        <v>15</v>
      </c>
      <c r="S472">
        <v>2</v>
      </c>
      <c r="T472">
        <v>5</v>
      </c>
      <c r="U472">
        <v>1</v>
      </c>
      <c r="V472" t="s">
        <v>35</v>
      </c>
      <c r="W472">
        <v>0</v>
      </c>
      <c r="X472">
        <v>0.92307692307692302</v>
      </c>
      <c r="Y472">
        <v>0</v>
      </c>
      <c r="Z472">
        <v>1.4285714285714199</v>
      </c>
      <c r="AA472">
        <v>2.5862068965517202</v>
      </c>
      <c r="AB472">
        <v>2</v>
      </c>
      <c r="AC472">
        <v>2.80217391304347</v>
      </c>
    </row>
    <row r="473" spans="1:29" x14ac:dyDescent="0.35">
      <c r="A473" t="s">
        <v>553</v>
      </c>
      <c r="B473" t="s">
        <v>30</v>
      </c>
      <c r="C473" s="1">
        <v>45683</v>
      </c>
      <c r="D473" t="s">
        <v>31</v>
      </c>
      <c r="E473" s="2">
        <v>0.29166666666666669</v>
      </c>
      <c r="F473" t="s">
        <v>110</v>
      </c>
      <c r="G473">
        <v>37</v>
      </c>
      <c r="H473">
        <v>35</v>
      </c>
      <c r="I473">
        <v>10.1</v>
      </c>
      <c r="J473">
        <v>19</v>
      </c>
      <c r="K473" t="s">
        <v>33</v>
      </c>
      <c r="L473">
        <v>1</v>
      </c>
      <c r="M473" t="s">
        <v>34</v>
      </c>
      <c r="N473">
        <v>24</v>
      </c>
      <c r="O473">
        <v>24</v>
      </c>
      <c r="P473">
        <v>3.3</v>
      </c>
      <c r="Q473">
        <v>1</v>
      </c>
      <c r="R473">
        <v>7</v>
      </c>
      <c r="S473">
        <v>1</v>
      </c>
      <c r="T473">
        <v>6</v>
      </c>
      <c r="U473">
        <v>1</v>
      </c>
      <c r="V473" t="s">
        <v>47</v>
      </c>
      <c r="W473">
        <v>0</v>
      </c>
      <c r="X473">
        <v>1</v>
      </c>
      <c r="Y473">
        <v>0</v>
      </c>
      <c r="Z473">
        <v>1.9473684210526301</v>
      </c>
      <c r="AA473">
        <v>3.66336633663366</v>
      </c>
      <c r="AB473">
        <v>2</v>
      </c>
      <c r="AC473">
        <v>3.6613636363636299</v>
      </c>
    </row>
    <row r="474" spans="1:29" x14ac:dyDescent="0.35">
      <c r="A474" t="s">
        <v>554</v>
      </c>
      <c r="B474" t="s">
        <v>43</v>
      </c>
      <c r="C474" s="1">
        <v>45661</v>
      </c>
      <c r="D474" t="s">
        <v>50</v>
      </c>
      <c r="E474" s="2">
        <v>0.35416666666666669</v>
      </c>
      <c r="F474" t="s">
        <v>100</v>
      </c>
      <c r="G474">
        <v>84</v>
      </c>
      <c r="H474">
        <v>84</v>
      </c>
      <c r="I474">
        <v>18.399999999999999</v>
      </c>
      <c r="J474">
        <v>32</v>
      </c>
      <c r="K474" t="s">
        <v>46</v>
      </c>
      <c r="L474">
        <v>0</v>
      </c>
      <c r="M474" t="s">
        <v>34</v>
      </c>
      <c r="N474">
        <v>26</v>
      </c>
      <c r="O474">
        <v>24</v>
      </c>
      <c r="P474">
        <v>2.9</v>
      </c>
      <c r="Q474">
        <v>0</v>
      </c>
      <c r="R474">
        <v>8</v>
      </c>
      <c r="S474">
        <v>1</v>
      </c>
      <c r="T474">
        <v>5</v>
      </c>
      <c r="U474">
        <v>1</v>
      </c>
      <c r="V474" t="s">
        <v>47</v>
      </c>
      <c r="W474">
        <v>0</v>
      </c>
      <c r="X474">
        <v>0.92307692307692302</v>
      </c>
      <c r="Y474">
        <v>0</v>
      </c>
      <c r="Z474">
        <v>2.625</v>
      </c>
      <c r="AA474">
        <v>4.5652173913043397</v>
      </c>
      <c r="AB474">
        <v>0</v>
      </c>
      <c r="AC474">
        <v>8.6013888888888896</v>
      </c>
    </row>
    <row r="475" spans="1:29" x14ac:dyDescent="0.35">
      <c r="A475" t="s">
        <v>555</v>
      </c>
      <c r="B475" t="s">
        <v>57</v>
      </c>
      <c r="C475" s="1">
        <v>45705</v>
      </c>
      <c r="D475" t="s">
        <v>87</v>
      </c>
      <c r="E475" s="2">
        <v>0.67708333333333337</v>
      </c>
      <c r="F475" t="s">
        <v>39</v>
      </c>
      <c r="G475">
        <v>45</v>
      </c>
      <c r="H475">
        <v>40</v>
      </c>
      <c r="I475">
        <v>14.2</v>
      </c>
      <c r="J475">
        <v>25</v>
      </c>
      <c r="K475" t="s">
        <v>46</v>
      </c>
      <c r="L475">
        <v>0</v>
      </c>
      <c r="M475" t="s">
        <v>34</v>
      </c>
      <c r="N475">
        <v>38</v>
      </c>
      <c r="O475">
        <v>34</v>
      </c>
      <c r="P475">
        <v>6.6</v>
      </c>
      <c r="Q475">
        <v>0</v>
      </c>
      <c r="R475">
        <v>16</v>
      </c>
      <c r="S475">
        <v>2</v>
      </c>
      <c r="T475">
        <v>0</v>
      </c>
      <c r="U475">
        <v>0</v>
      </c>
      <c r="V475" t="s">
        <v>35</v>
      </c>
      <c r="W475">
        <v>0</v>
      </c>
      <c r="X475">
        <v>0.89473684210526305</v>
      </c>
      <c r="Y475">
        <v>1</v>
      </c>
      <c r="Z475">
        <v>1.8</v>
      </c>
      <c r="AA475">
        <v>3.1690140845070398</v>
      </c>
      <c r="AB475">
        <v>5</v>
      </c>
      <c r="AC475">
        <v>8.3255319148936096</v>
      </c>
    </row>
    <row r="476" spans="1:29" x14ac:dyDescent="0.35">
      <c r="A476" t="s">
        <v>556</v>
      </c>
      <c r="B476" t="s">
        <v>43</v>
      </c>
      <c r="C476" s="1">
        <v>45677</v>
      </c>
      <c r="D476" t="s">
        <v>87</v>
      </c>
      <c r="E476" s="2">
        <v>0.26041666666666669</v>
      </c>
      <c r="F476" t="s">
        <v>119</v>
      </c>
      <c r="G476">
        <v>62</v>
      </c>
      <c r="H476">
        <v>55</v>
      </c>
      <c r="I476">
        <v>18.399999999999999</v>
      </c>
      <c r="J476">
        <v>32</v>
      </c>
      <c r="K476" t="s">
        <v>46</v>
      </c>
      <c r="L476">
        <v>0</v>
      </c>
      <c r="M476" t="s">
        <v>34</v>
      </c>
      <c r="N476">
        <v>21</v>
      </c>
      <c r="O476">
        <v>18</v>
      </c>
      <c r="P476">
        <v>8.8000000000000007</v>
      </c>
      <c r="Q476">
        <v>1</v>
      </c>
      <c r="R476">
        <v>6</v>
      </c>
      <c r="S476">
        <v>1</v>
      </c>
      <c r="T476">
        <v>0</v>
      </c>
      <c r="U476">
        <v>0</v>
      </c>
      <c r="V476" t="s">
        <v>35</v>
      </c>
      <c r="W476">
        <v>0</v>
      </c>
      <c r="X476">
        <v>0.85714285714285698</v>
      </c>
      <c r="Y476">
        <v>1</v>
      </c>
      <c r="Z476">
        <v>1.9375</v>
      </c>
      <c r="AA476">
        <v>3.3695652173913002</v>
      </c>
      <c r="AB476">
        <v>7</v>
      </c>
      <c r="AC476">
        <v>8.6013888888888896</v>
      </c>
    </row>
    <row r="477" spans="1:29" x14ac:dyDescent="0.35">
      <c r="A477" t="s">
        <v>557</v>
      </c>
      <c r="B477" t="s">
        <v>65</v>
      </c>
      <c r="C477" s="1">
        <v>45694</v>
      </c>
      <c r="D477" t="s">
        <v>54</v>
      </c>
      <c r="E477" s="2">
        <v>0.29166666666666669</v>
      </c>
      <c r="F477" t="s">
        <v>39</v>
      </c>
      <c r="G477">
        <v>55</v>
      </c>
      <c r="H477">
        <v>51</v>
      </c>
      <c r="I477">
        <v>6.8</v>
      </c>
      <c r="J477">
        <v>12</v>
      </c>
      <c r="K477" t="s">
        <v>66</v>
      </c>
      <c r="L477">
        <v>0</v>
      </c>
      <c r="M477" t="s">
        <v>34</v>
      </c>
      <c r="N477">
        <v>29</v>
      </c>
      <c r="O477">
        <v>28</v>
      </c>
      <c r="P477">
        <v>6.4</v>
      </c>
      <c r="Q477">
        <v>0</v>
      </c>
      <c r="R477">
        <v>7</v>
      </c>
      <c r="S477">
        <v>2</v>
      </c>
      <c r="T477">
        <v>3</v>
      </c>
      <c r="U477">
        <v>0</v>
      </c>
      <c r="V477" t="s">
        <v>47</v>
      </c>
      <c r="W477">
        <v>0</v>
      </c>
      <c r="X477">
        <v>0.96551724137931005</v>
      </c>
      <c r="Y477">
        <v>1</v>
      </c>
      <c r="Z477">
        <v>4.5833333333333304</v>
      </c>
      <c r="AA477">
        <v>8.0882352941176396</v>
      </c>
      <c r="AB477">
        <v>4</v>
      </c>
      <c r="AC477">
        <v>2.7611111111111102</v>
      </c>
    </row>
    <row r="478" spans="1:29" x14ac:dyDescent="0.35">
      <c r="A478" t="s">
        <v>558</v>
      </c>
      <c r="B478" t="s">
        <v>43</v>
      </c>
      <c r="C478" s="1">
        <v>45712</v>
      </c>
      <c r="D478" t="s">
        <v>87</v>
      </c>
      <c r="E478" s="2">
        <v>0.53125</v>
      </c>
      <c r="F478" t="s">
        <v>55</v>
      </c>
      <c r="G478">
        <v>57</v>
      </c>
      <c r="H478">
        <v>50</v>
      </c>
      <c r="I478">
        <v>18.399999999999999</v>
      </c>
      <c r="J478">
        <v>32</v>
      </c>
      <c r="K478" t="s">
        <v>46</v>
      </c>
      <c r="L478">
        <v>0</v>
      </c>
      <c r="M478" t="s">
        <v>34</v>
      </c>
      <c r="N478">
        <v>30</v>
      </c>
      <c r="O478">
        <v>28</v>
      </c>
      <c r="P478">
        <v>18.8</v>
      </c>
      <c r="Q478">
        <v>0</v>
      </c>
      <c r="R478">
        <v>12</v>
      </c>
      <c r="S478">
        <v>2</v>
      </c>
      <c r="T478">
        <v>0</v>
      </c>
      <c r="U478">
        <v>0</v>
      </c>
      <c r="V478" t="s">
        <v>35</v>
      </c>
      <c r="W478">
        <v>0</v>
      </c>
      <c r="X478">
        <v>0.93333333333333302</v>
      </c>
      <c r="Y478">
        <v>1</v>
      </c>
      <c r="Z478">
        <v>1.78125</v>
      </c>
      <c r="AA478">
        <v>3.0978260869565202</v>
      </c>
      <c r="AB478">
        <v>7</v>
      </c>
      <c r="AC478">
        <v>8.6013888888888896</v>
      </c>
    </row>
    <row r="479" spans="1:29" x14ac:dyDescent="0.35">
      <c r="A479" t="s">
        <v>559</v>
      </c>
      <c r="B479" t="s">
        <v>106</v>
      </c>
      <c r="C479" s="1">
        <v>45687</v>
      </c>
      <c r="D479" t="s">
        <v>54</v>
      </c>
      <c r="E479" s="2">
        <v>0.67708333333333337</v>
      </c>
      <c r="F479" t="s">
        <v>80</v>
      </c>
      <c r="G479">
        <v>54</v>
      </c>
      <c r="H479">
        <v>51</v>
      </c>
      <c r="I479">
        <v>15</v>
      </c>
      <c r="J479">
        <v>28</v>
      </c>
      <c r="K479" t="s">
        <v>40</v>
      </c>
      <c r="L479">
        <v>0</v>
      </c>
      <c r="M479" t="s">
        <v>34</v>
      </c>
      <c r="N479">
        <v>34</v>
      </c>
      <c r="O479">
        <v>29</v>
      </c>
      <c r="P479">
        <v>9.1</v>
      </c>
      <c r="Q479">
        <v>1</v>
      </c>
      <c r="R479">
        <v>16</v>
      </c>
      <c r="S479">
        <v>1</v>
      </c>
      <c r="T479">
        <v>3</v>
      </c>
      <c r="U479">
        <v>0</v>
      </c>
      <c r="V479" t="s">
        <v>35</v>
      </c>
      <c r="W479">
        <v>0</v>
      </c>
      <c r="X479">
        <v>0.85294117647058798</v>
      </c>
      <c r="Y479">
        <v>1</v>
      </c>
      <c r="Z479">
        <v>1.9285714285714199</v>
      </c>
      <c r="AA479">
        <v>3.6</v>
      </c>
      <c r="AB479">
        <v>3</v>
      </c>
      <c r="AC479">
        <v>9.4749999999999996</v>
      </c>
    </row>
    <row r="480" spans="1:29" x14ac:dyDescent="0.35">
      <c r="A480" t="s">
        <v>560</v>
      </c>
      <c r="B480" t="s">
        <v>106</v>
      </c>
      <c r="C480" s="1">
        <v>45663</v>
      </c>
      <c r="D480" t="s">
        <v>87</v>
      </c>
      <c r="E480" s="2">
        <v>0.3125</v>
      </c>
      <c r="F480" t="s">
        <v>100</v>
      </c>
      <c r="G480">
        <v>90</v>
      </c>
      <c r="H480">
        <v>80</v>
      </c>
      <c r="I480">
        <v>15</v>
      </c>
      <c r="J480">
        <v>28</v>
      </c>
      <c r="K480" t="s">
        <v>40</v>
      </c>
      <c r="L480">
        <v>0</v>
      </c>
      <c r="M480" t="s">
        <v>34</v>
      </c>
      <c r="N480">
        <v>22</v>
      </c>
      <c r="O480">
        <v>18</v>
      </c>
      <c r="P480">
        <v>6.1</v>
      </c>
      <c r="Q480">
        <v>0</v>
      </c>
      <c r="R480">
        <v>7</v>
      </c>
      <c r="S480">
        <v>1</v>
      </c>
      <c r="T480">
        <v>0</v>
      </c>
      <c r="U480">
        <v>0</v>
      </c>
      <c r="V480" t="s">
        <v>47</v>
      </c>
      <c r="W480">
        <v>0</v>
      </c>
      <c r="X480">
        <v>0.81818181818181801</v>
      </c>
      <c r="Y480">
        <v>1</v>
      </c>
      <c r="Z480">
        <v>3.21428571428571</v>
      </c>
      <c r="AA480">
        <v>6</v>
      </c>
      <c r="AB480">
        <v>10</v>
      </c>
      <c r="AC480">
        <v>9.4749999999999996</v>
      </c>
    </row>
    <row r="481" spans="1:29" x14ac:dyDescent="0.35">
      <c r="A481" t="s">
        <v>561</v>
      </c>
      <c r="B481" t="s">
        <v>49</v>
      </c>
      <c r="C481" s="1">
        <v>45673</v>
      </c>
      <c r="D481" t="s">
        <v>54</v>
      </c>
      <c r="E481" s="2">
        <v>0.69791666666666663</v>
      </c>
      <c r="F481" t="s">
        <v>89</v>
      </c>
      <c r="G481">
        <v>43</v>
      </c>
      <c r="H481">
        <v>42</v>
      </c>
      <c r="I481">
        <v>8.1999999999999993</v>
      </c>
      <c r="J481">
        <v>15</v>
      </c>
      <c r="K481" t="s">
        <v>51</v>
      </c>
      <c r="L481">
        <v>0</v>
      </c>
      <c r="M481" t="s">
        <v>34</v>
      </c>
      <c r="N481">
        <v>33</v>
      </c>
      <c r="O481">
        <v>32</v>
      </c>
      <c r="P481">
        <v>6.7</v>
      </c>
      <c r="Q481">
        <v>0</v>
      </c>
      <c r="R481">
        <v>16</v>
      </c>
      <c r="S481">
        <v>1</v>
      </c>
      <c r="T481">
        <v>3</v>
      </c>
      <c r="U481">
        <v>0</v>
      </c>
      <c r="V481" t="s">
        <v>35</v>
      </c>
      <c r="W481">
        <v>0</v>
      </c>
      <c r="X481">
        <v>0.96969696969696895</v>
      </c>
      <c r="Y481">
        <v>1</v>
      </c>
      <c r="Z481">
        <v>2.86666666666666</v>
      </c>
      <c r="AA481">
        <v>5.2439024390243896</v>
      </c>
      <c r="AB481">
        <v>1</v>
      </c>
      <c r="AC481">
        <v>3.6937500000000001</v>
      </c>
    </row>
    <row r="482" spans="1:29" x14ac:dyDescent="0.35">
      <c r="A482" t="s">
        <v>562</v>
      </c>
      <c r="B482" t="s">
        <v>106</v>
      </c>
      <c r="C482" s="1">
        <v>45699</v>
      </c>
      <c r="D482" t="s">
        <v>44</v>
      </c>
      <c r="E482" s="2">
        <v>0.35416666666666669</v>
      </c>
      <c r="F482" t="s">
        <v>100</v>
      </c>
      <c r="G482">
        <v>75</v>
      </c>
      <c r="H482">
        <v>65</v>
      </c>
      <c r="I482">
        <v>15</v>
      </c>
      <c r="J482">
        <v>28</v>
      </c>
      <c r="K482" t="s">
        <v>40</v>
      </c>
      <c r="L482">
        <v>0</v>
      </c>
      <c r="M482" t="s">
        <v>34</v>
      </c>
      <c r="N482">
        <v>26</v>
      </c>
      <c r="O482">
        <v>25</v>
      </c>
      <c r="P482">
        <v>6.4</v>
      </c>
      <c r="Q482">
        <v>0</v>
      </c>
      <c r="R482">
        <v>8</v>
      </c>
      <c r="S482">
        <v>2</v>
      </c>
      <c r="T482">
        <v>1</v>
      </c>
      <c r="U482">
        <v>0</v>
      </c>
      <c r="V482" t="s">
        <v>47</v>
      </c>
      <c r="W482">
        <v>0</v>
      </c>
      <c r="X482">
        <v>0.96153846153846101</v>
      </c>
      <c r="Y482">
        <v>1</v>
      </c>
      <c r="Z482">
        <v>2.6785714285714199</v>
      </c>
      <c r="AA482">
        <v>5</v>
      </c>
      <c r="AB482">
        <v>10</v>
      </c>
      <c r="AC482">
        <v>9.4749999999999996</v>
      </c>
    </row>
    <row r="483" spans="1:29" x14ac:dyDescent="0.35">
      <c r="A483" t="s">
        <v>563</v>
      </c>
      <c r="B483" t="s">
        <v>57</v>
      </c>
      <c r="C483" s="1">
        <v>45696</v>
      </c>
      <c r="D483" t="s">
        <v>50</v>
      </c>
      <c r="E483" s="2">
        <v>0.375</v>
      </c>
      <c r="F483" t="s">
        <v>82</v>
      </c>
      <c r="G483">
        <v>107</v>
      </c>
      <c r="H483">
        <v>104</v>
      </c>
      <c r="I483">
        <v>14.2</v>
      </c>
      <c r="J483">
        <v>25</v>
      </c>
      <c r="K483" t="s">
        <v>46</v>
      </c>
      <c r="L483">
        <v>0</v>
      </c>
      <c r="M483" t="s">
        <v>52</v>
      </c>
      <c r="N483">
        <v>34</v>
      </c>
      <c r="O483">
        <v>30</v>
      </c>
      <c r="P483">
        <v>14.8</v>
      </c>
      <c r="Q483">
        <v>0</v>
      </c>
      <c r="R483">
        <v>9</v>
      </c>
      <c r="S483">
        <v>2</v>
      </c>
      <c r="T483">
        <v>5</v>
      </c>
      <c r="U483">
        <v>1</v>
      </c>
      <c r="V483" t="s">
        <v>47</v>
      </c>
      <c r="W483">
        <v>1</v>
      </c>
      <c r="X483">
        <v>0.88235294117647001</v>
      </c>
      <c r="Y483">
        <v>1</v>
      </c>
      <c r="Z483">
        <v>4.28</v>
      </c>
      <c r="AA483">
        <v>7.5352112676056304</v>
      </c>
      <c r="AB483">
        <v>3</v>
      </c>
      <c r="AC483">
        <v>8.3255319148936096</v>
      </c>
    </row>
    <row r="484" spans="1:29" x14ac:dyDescent="0.35">
      <c r="A484" t="s">
        <v>564</v>
      </c>
      <c r="B484" t="s">
        <v>49</v>
      </c>
      <c r="C484" s="1">
        <v>45687</v>
      </c>
      <c r="D484" t="s">
        <v>54</v>
      </c>
      <c r="E484" s="2">
        <v>0.73958333333333337</v>
      </c>
      <c r="F484" t="s">
        <v>110</v>
      </c>
      <c r="G484">
        <v>62</v>
      </c>
      <c r="H484">
        <v>61</v>
      </c>
      <c r="I484">
        <v>8.1999999999999993</v>
      </c>
      <c r="J484">
        <v>15</v>
      </c>
      <c r="K484" t="s">
        <v>51</v>
      </c>
      <c r="L484">
        <v>0</v>
      </c>
      <c r="M484" t="s">
        <v>34</v>
      </c>
      <c r="N484">
        <v>24</v>
      </c>
      <c r="O484">
        <v>24</v>
      </c>
      <c r="P484">
        <v>0.9</v>
      </c>
      <c r="Q484">
        <v>0</v>
      </c>
      <c r="R484">
        <v>17</v>
      </c>
      <c r="S484">
        <v>1</v>
      </c>
      <c r="T484">
        <v>3</v>
      </c>
      <c r="U484">
        <v>0</v>
      </c>
      <c r="V484" t="s">
        <v>41</v>
      </c>
      <c r="W484">
        <v>0</v>
      </c>
      <c r="X484">
        <v>1</v>
      </c>
      <c r="Y484">
        <v>0</v>
      </c>
      <c r="Z484">
        <v>4.1333333333333302</v>
      </c>
      <c r="AA484">
        <v>7.5609756097560901</v>
      </c>
      <c r="AB484">
        <v>1</v>
      </c>
      <c r="AC484">
        <v>3.6937500000000001</v>
      </c>
    </row>
    <row r="485" spans="1:29" x14ac:dyDescent="0.35">
      <c r="A485" t="s">
        <v>565</v>
      </c>
      <c r="B485" t="s">
        <v>106</v>
      </c>
      <c r="C485" s="1">
        <v>45706</v>
      </c>
      <c r="D485" t="s">
        <v>44</v>
      </c>
      <c r="E485" s="2">
        <v>0.625</v>
      </c>
      <c r="F485" t="s">
        <v>39</v>
      </c>
      <c r="G485">
        <v>57</v>
      </c>
      <c r="H485">
        <v>52</v>
      </c>
      <c r="I485">
        <v>15</v>
      </c>
      <c r="J485">
        <v>28</v>
      </c>
      <c r="K485" t="s">
        <v>40</v>
      </c>
      <c r="L485">
        <v>0</v>
      </c>
      <c r="M485" t="s">
        <v>34</v>
      </c>
      <c r="N485">
        <v>32</v>
      </c>
      <c r="O485">
        <v>26</v>
      </c>
      <c r="P485">
        <v>7.9</v>
      </c>
      <c r="Q485">
        <v>0</v>
      </c>
      <c r="R485">
        <v>15</v>
      </c>
      <c r="S485">
        <v>2</v>
      </c>
      <c r="T485">
        <v>1</v>
      </c>
      <c r="U485">
        <v>0</v>
      </c>
      <c r="V485" t="s">
        <v>35</v>
      </c>
      <c r="W485">
        <v>0</v>
      </c>
      <c r="X485">
        <v>0.8125</v>
      </c>
      <c r="Y485">
        <v>1</v>
      </c>
      <c r="Z485">
        <v>2.0357142857142798</v>
      </c>
      <c r="AA485">
        <v>3.8</v>
      </c>
      <c r="AB485">
        <v>5</v>
      </c>
      <c r="AC485">
        <v>9.4749999999999996</v>
      </c>
    </row>
    <row r="486" spans="1:29" x14ac:dyDescent="0.35">
      <c r="A486" t="s">
        <v>566</v>
      </c>
      <c r="B486" t="s">
        <v>30</v>
      </c>
      <c r="C486" s="1">
        <v>45705</v>
      </c>
      <c r="D486" t="s">
        <v>87</v>
      </c>
      <c r="E486" s="2">
        <v>0.67708333333333337</v>
      </c>
      <c r="F486" t="s">
        <v>110</v>
      </c>
      <c r="G486">
        <v>44</v>
      </c>
      <c r="H486">
        <v>41</v>
      </c>
      <c r="I486">
        <v>10.1</v>
      </c>
      <c r="J486">
        <v>19</v>
      </c>
      <c r="K486" t="s">
        <v>33</v>
      </c>
      <c r="L486">
        <v>0</v>
      </c>
      <c r="M486" t="s">
        <v>34</v>
      </c>
      <c r="N486">
        <v>28</v>
      </c>
      <c r="O486">
        <v>26</v>
      </c>
      <c r="P486">
        <v>3.3</v>
      </c>
      <c r="Q486">
        <v>1</v>
      </c>
      <c r="R486">
        <v>16</v>
      </c>
      <c r="S486">
        <v>2</v>
      </c>
      <c r="T486">
        <v>0</v>
      </c>
      <c r="U486">
        <v>0</v>
      </c>
      <c r="V486" t="s">
        <v>35</v>
      </c>
      <c r="W486">
        <v>0</v>
      </c>
      <c r="X486">
        <v>0.92857142857142805</v>
      </c>
      <c r="Y486">
        <v>0</v>
      </c>
      <c r="Z486">
        <v>2.3157894736842102</v>
      </c>
      <c r="AA486">
        <v>4.3564356435643496</v>
      </c>
      <c r="AB486">
        <v>3</v>
      </c>
      <c r="AC486">
        <v>3.6613636363636299</v>
      </c>
    </row>
    <row r="487" spans="1:29" x14ac:dyDescent="0.35">
      <c r="A487" t="s">
        <v>567</v>
      </c>
      <c r="B487" t="s">
        <v>43</v>
      </c>
      <c r="C487" s="1">
        <v>45704</v>
      </c>
      <c r="D487" t="s">
        <v>31</v>
      </c>
      <c r="E487" s="2">
        <v>0.20833333333333334</v>
      </c>
      <c r="F487" t="s">
        <v>45</v>
      </c>
      <c r="G487">
        <v>42</v>
      </c>
      <c r="H487">
        <v>39</v>
      </c>
      <c r="I487">
        <v>18.399999999999999</v>
      </c>
      <c r="J487">
        <v>32</v>
      </c>
      <c r="K487" t="s">
        <v>46</v>
      </c>
      <c r="L487">
        <v>0</v>
      </c>
      <c r="M487" t="s">
        <v>34</v>
      </c>
      <c r="N487">
        <v>25</v>
      </c>
      <c r="O487">
        <v>23</v>
      </c>
      <c r="P487">
        <v>9.4</v>
      </c>
      <c r="Q487">
        <v>0</v>
      </c>
      <c r="R487">
        <v>5</v>
      </c>
      <c r="S487">
        <v>2</v>
      </c>
      <c r="T487">
        <v>6</v>
      </c>
      <c r="U487">
        <v>1</v>
      </c>
      <c r="V487" t="s">
        <v>35</v>
      </c>
      <c r="W487">
        <v>0</v>
      </c>
      <c r="X487">
        <v>0.92</v>
      </c>
      <c r="Y487">
        <v>1</v>
      </c>
      <c r="Z487">
        <v>1.3125</v>
      </c>
      <c r="AA487">
        <v>2.2826086956521698</v>
      </c>
      <c r="AB487">
        <v>3</v>
      </c>
      <c r="AC487">
        <v>8.6013888888888896</v>
      </c>
    </row>
    <row r="488" spans="1:29" x14ac:dyDescent="0.35">
      <c r="A488" t="s">
        <v>568</v>
      </c>
      <c r="B488" t="s">
        <v>49</v>
      </c>
      <c r="C488" s="1">
        <v>45688</v>
      </c>
      <c r="D488" t="s">
        <v>38</v>
      </c>
      <c r="E488" s="2">
        <v>0.92708333333333337</v>
      </c>
      <c r="F488" t="s">
        <v>39</v>
      </c>
      <c r="G488">
        <v>42</v>
      </c>
      <c r="H488">
        <v>38</v>
      </c>
      <c r="I488">
        <v>8.1999999999999993</v>
      </c>
      <c r="J488">
        <v>15</v>
      </c>
      <c r="K488" t="s">
        <v>51</v>
      </c>
      <c r="L488">
        <v>0</v>
      </c>
      <c r="M488" t="s">
        <v>34</v>
      </c>
      <c r="N488">
        <v>27</v>
      </c>
      <c r="O488">
        <v>27</v>
      </c>
      <c r="P488">
        <v>3.5</v>
      </c>
      <c r="Q488">
        <v>0</v>
      </c>
      <c r="R488">
        <v>22</v>
      </c>
      <c r="S488">
        <v>1</v>
      </c>
      <c r="T488">
        <v>4</v>
      </c>
      <c r="U488">
        <v>0</v>
      </c>
      <c r="V488" t="s">
        <v>35</v>
      </c>
      <c r="W488">
        <v>0</v>
      </c>
      <c r="X488">
        <v>1</v>
      </c>
      <c r="Y488">
        <v>0</v>
      </c>
      <c r="Z488">
        <v>2.8</v>
      </c>
      <c r="AA488">
        <v>5.1219512195121899</v>
      </c>
      <c r="AB488">
        <v>4</v>
      </c>
      <c r="AC488">
        <v>3.6937500000000001</v>
      </c>
    </row>
    <row r="489" spans="1:29" x14ac:dyDescent="0.35">
      <c r="A489" t="s">
        <v>569</v>
      </c>
      <c r="B489" t="s">
        <v>49</v>
      </c>
      <c r="C489" s="1">
        <v>45679</v>
      </c>
      <c r="D489" t="s">
        <v>78</v>
      </c>
      <c r="E489" s="2">
        <v>0.63541666666666663</v>
      </c>
      <c r="F489" t="s">
        <v>68</v>
      </c>
      <c r="G489">
        <v>30</v>
      </c>
      <c r="H489">
        <v>26</v>
      </c>
      <c r="I489">
        <v>8.1999999999999993</v>
      </c>
      <c r="J489">
        <v>15</v>
      </c>
      <c r="K489" t="s">
        <v>51</v>
      </c>
      <c r="L489">
        <v>0</v>
      </c>
      <c r="M489" t="s">
        <v>34</v>
      </c>
      <c r="N489">
        <v>37</v>
      </c>
      <c r="O489">
        <v>37</v>
      </c>
      <c r="P489">
        <v>4.8</v>
      </c>
      <c r="Q489">
        <v>0</v>
      </c>
      <c r="R489">
        <v>15</v>
      </c>
      <c r="S489">
        <v>1</v>
      </c>
      <c r="T489">
        <v>2</v>
      </c>
      <c r="U489">
        <v>0</v>
      </c>
      <c r="V489" t="s">
        <v>35</v>
      </c>
      <c r="W489">
        <v>0</v>
      </c>
      <c r="X489">
        <v>1</v>
      </c>
      <c r="Y489">
        <v>0</v>
      </c>
      <c r="Z489">
        <v>2</v>
      </c>
      <c r="AA489">
        <v>3.6585365853658498</v>
      </c>
      <c r="AB489">
        <v>4</v>
      </c>
      <c r="AC489">
        <v>3.6937500000000001</v>
      </c>
    </row>
    <row r="490" spans="1:29" x14ac:dyDescent="0.35">
      <c r="A490" t="s">
        <v>570</v>
      </c>
      <c r="B490" t="s">
        <v>43</v>
      </c>
      <c r="C490" s="1">
        <v>45707</v>
      </c>
      <c r="D490" t="s">
        <v>78</v>
      </c>
      <c r="E490" s="2">
        <v>0.60416666666666663</v>
      </c>
      <c r="F490" t="s">
        <v>61</v>
      </c>
      <c r="G490">
        <v>56</v>
      </c>
      <c r="H490">
        <v>52</v>
      </c>
      <c r="I490">
        <v>18.399999999999999</v>
      </c>
      <c r="J490">
        <v>32</v>
      </c>
      <c r="K490" t="s">
        <v>46</v>
      </c>
      <c r="L490">
        <v>0</v>
      </c>
      <c r="M490" t="s">
        <v>34</v>
      </c>
      <c r="N490">
        <v>23</v>
      </c>
      <c r="O490">
        <v>21</v>
      </c>
      <c r="P490">
        <v>11.2</v>
      </c>
      <c r="Q490">
        <v>0</v>
      </c>
      <c r="R490">
        <v>14</v>
      </c>
      <c r="S490">
        <v>2</v>
      </c>
      <c r="T490">
        <v>2</v>
      </c>
      <c r="U490">
        <v>0</v>
      </c>
      <c r="V490" t="s">
        <v>35</v>
      </c>
      <c r="W490">
        <v>0</v>
      </c>
      <c r="X490">
        <v>0.91304347826086896</v>
      </c>
      <c r="Y490">
        <v>1</v>
      </c>
      <c r="Z490">
        <v>1.75</v>
      </c>
      <c r="AA490">
        <v>3.0434782608695601</v>
      </c>
      <c r="AB490">
        <v>4</v>
      </c>
      <c r="AC490">
        <v>8.6013888888888896</v>
      </c>
    </row>
    <row r="491" spans="1:29" x14ac:dyDescent="0.35">
      <c r="A491" t="s">
        <v>571</v>
      </c>
      <c r="B491" t="s">
        <v>60</v>
      </c>
      <c r="C491" s="1">
        <v>45662</v>
      </c>
      <c r="D491" t="s">
        <v>31</v>
      </c>
      <c r="E491" s="2">
        <v>0.4375</v>
      </c>
      <c r="F491" t="s">
        <v>32</v>
      </c>
      <c r="G491">
        <v>36</v>
      </c>
      <c r="H491">
        <v>36</v>
      </c>
      <c r="I491">
        <v>12.5</v>
      </c>
      <c r="J491">
        <v>22</v>
      </c>
      <c r="K491" t="s">
        <v>51</v>
      </c>
      <c r="L491">
        <v>0</v>
      </c>
      <c r="M491" t="s">
        <v>34</v>
      </c>
      <c r="N491">
        <v>19</v>
      </c>
      <c r="O491">
        <v>18</v>
      </c>
      <c r="P491">
        <v>4.4000000000000004</v>
      </c>
      <c r="Q491">
        <v>0</v>
      </c>
      <c r="R491">
        <v>10</v>
      </c>
      <c r="S491">
        <v>1</v>
      </c>
      <c r="T491">
        <v>6</v>
      </c>
      <c r="U491">
        <v>1</v>
      </c>
      <c r="V491" t="s">
        <v>35</v>
      </c>
      <c r="W491">
        <v>0</v>
      </c>
      <c r="X491">
        <v>0.94736842105263097</v>
      </c>
      <c r="Y491">
        <v>0</v>
      </c>
      <c r="Z491">
        <v>1.63636363636363</v>
      </c>
      <c r="AA491">
        <v>2.88</v>
      </c>
      <c r="AB491">
        <v>0</v>
      </c>
      <c r="AC491">
        <v>3.4760869565217298</v>
      </c>
    </row>
    <row r="492" spans="1:29" x14ac:dyDescent="0.35">
      <c r="A492" t="s">
        <v>572</v>
      </c>
      <c r="B492" t="s">
        <v>30</v>
      </c>
      <c r="C492" s="1">
        <v>45708</v>
      </c>
      <c r="D492" t="s">
        <v>54</v>
      </c>
      <c r="E492" s="2">
        <v>0.36458333333333331</v>
      </c>
      <c r="F492" t="s">
        <v>76</v>
      </c>
      <c r="G492">
        <v>73</v>
      </c>
      <c r="H492">
        <v>69</v>
      </c>
      <c r="I492">
        <v>10.1</v>
      </c>
      <c r="J492">
        <v>19</v>
      </c>
      <c r="K492" t="s">
        <v>33</v>
      </c>
      <c r="L492">
        <v>0</v>
      </c>
      <c r="M492" t="s">
        <v>34</v>
      </c>
      <c r="N492">
        <v>18</v>
      </c>
      <c r="O492">
        <v>17</v>
      </c>
      <c r="P492">
        <v>3.6</v>
      </c>
      <c r="Q492">
        <v>0</v>
      </c>
      <c r="R492">
        <v>8</v>
      </c>
      <c r="S492">
        <v>2</v>
      </c>
      <c r="T492">
        <v>3</v>
      </c>
      <c r="U492">
        <v>0</v>
      </c>
      <c r="V492" t="s">
        <v>47</v>
      </c>
      <c r="W492">
        <v>0</v>
      </c>
      <c r="X492">
        <v>0.94444444444444398</v>
      </c>
      <c r="Y492">
        <v>0</v>
      </c>
      <c r="Z492">
        <v>3.8421052631578898</v>
      </c>
      <c r="AA492">
        <v>7.2277227722772199</v>
      </c>
      <c r="AB492">
        <v>4</v>
      </c>
      <c r="AC492">
        <v>3.6613636363636299</v>
      </c>
    </row>
    <row r="493" spans="1:29" x14ac:dyDescent="0.35">
      <c r="A493" t="s">
        <v>573</v>
      </c>
      <c r="B493" t="s">
        <v>43</v>
      </c>
      <c r="C493" s="1">
        <v>45667</v>
      </c>
      <c r="D493" t="s">
        <v>38</v>
      </c>
      <c r="E493" s="2">
        <v>0.625</v>
      </c>
      <c r="F493" t="s">
        <v>61</v>
      </c>
      <c r="G493">
        <v>55</v>
      </c>
      <c r="H493">
        <v>53</v>
      </c>
      <c r="I493">
        <v>18.399999999999999</v>
      </c>
      <c r="J493">
        <v>32</v>
      </c>
      <c r="K493" t="s">
        <v>46</v>
      </c>
      <c r="L493">
        <v>0</v>
      </c>
      <c r="M493" t="s">
        <v>34</v>
      </c>
      <c r="N493">
        <v>28</v>
      </c>
      <c r="O493">
        <v>23</v>
      </c>
      <c r="P493">
        <v>8.8000000000000007</v>
      </c>
      <c r="Q493">
        <v>1</v>
      </c>
      <c r="R493">
        <v>15</v>
      </c>
      <c r="S493">
        <v>1</v>
      </c>
      <c r="T493">
        <v>4</v>
      </c>
      <c r="U493">
        <v>0</v>
      </c>
      <c r="V493" t="s">
        <v>35</v>
      </c>
      <c r="W493">
        <v>0</v>
      </c>
      <c r="X493">
        <v>0.82142857142857095</v>
      </c>
      <c r="Y493">
        <v>1</v>
      </c>
      <c r="Z493">
        <v>1.71875</v>
      </c>
      <c r="AA493">
        <v>2.9891304347826</v>
      </c>
      <c r="AB493">
        <v>2</v>
      </c>
      <c r="AC493">
        <v>8.6013888888888896</v>
      </c>
    </row>
    <row r="494" spans="1:29" x14ac:dyDescent="0.35">
      <c r="A494" t="s">
        <v>574</v>
      </c>
      <c r="B494" t="s">
        <v>106</v>
      </c>
      <c r="C494" s="1">
        <v>45676</v>
      </c>
      <c r="D494" t="s">
        <v>31</v>
      </c>
      <c r="E494" s="2">
        <v>0.35416666666666669</v>
      </c>
      <c r="F494" t="s">
        <v>125</v>
      </c>
      <c r="G494">
        <v>89</v>
      </c>
      <c r="H494">
        <v>83</v>
      </c>
      <c r="I494">
        <v>15</v>
      </c>
      <c r="J494">
        <v>28</v>
      </c>
      <c r="K494" t="s">
        <v>40</v>
      </c>
      <c r="L494">
        <v>0</v>
      </c>
      <c r="M494" t="s">
        <v>34</v>
      </c>
      <c r="N494">
        <v>35</v>
      </c>
      <c r="O494">
        <v>29</v>
      </c>
      <c r="P494">
        <v>6.4</v>
      </c>
      <c r="Q494">
        <v>0</v>
      </c>
      <c r="R494">
        <v>8</v>
      </c>
      <c r="S494">
        <v>1</v>
      </c>
      <c r="T494">
        <v>6</v>
      </c>
      <c r="U494">
        <v>1</v>
      </c>
      <c r="V494" t="s">
        <v>47</v>
      </c>
      <c r="W494">
        <v>0</v>
      </c>
      <c r="X494">
        <v>0.82857142857142796</v>
      </c>
      <c r="Y494">
        <v>1</v>
      </c>
      <c r="Z494">
        <v>3.1785714285714199</v>
      </c>
      <c r="AA494">
        <v>5.93333333333333</v>
      </c>
      <c r="AB494">
        <v>6</v>
      </c>
      <c r="AC494">
        <v>9.4749999999999996</v>
      </c>
    </row>
    <row r="495" spans="1:29" x14ac:dyDescent="0.35">
      <c r="A495" t="s">
        <v>575</v>
      </c>
      <c r="B495" t="s">
        <v>37</v>
      </c>
      <c r="C495" s="1">
        <v>45708</v>
      </c>
      <c r="D495" t="s">
        <v>54</v>
      </c>
      <c r="E495" s="2">
        <v>0.90625</v>
      </c>
      <c r="F495" t="s">
        <v>68</v>
      </c>
      <c r="G495">
        <v>42</v>
      </c>
      <c r="H495">
        <v>40</v>
      </c>
      <c r="I495">
        <v>9.5</v>
      </c>
      <c r="J495">
        <v>17</v>
      </c>
      <c r="K495" t="s">
        <v>40</v>
      </c>
      <c r="L495">
        <v>0</v>
      </c>
      <c r="M495" t="s">
        <v>34</v>
      </c>
      <c r="N495">
        <v>22</v>
      </c>
      <c r="O495">
        <v>21</v>
      </c>
      <c r="P495">
        <v>8.1999999999999993</v>
      </c>
      <c r="Q495">
        <v>0</v>
      </c>
      <c r="R495">
        <v>21</v>
      </c>
      <c r="S495">
        <v>2</v>
      </c>
      <c r="T495">
        <v>3</v>
      </c>
      <c r="U495">
        <v>0</v>
      </c>
      <c r="V495" t="s">
        <v>35</v>
      </c>
      <c r="W495">
        <v>0</v>
      </c>
      <c r="X495">
        <v>0.95454545454545403</v>
      </c>
      <c r="Y495">
        <v>1</v>
      </c>
      <c r="Z495">
        <v>2.4705882352941102</v>
      </c>
      <c r="AA495">
        <v>4.4210526315789398</v>
      </c>
      <c r="AB495">
        <v>2</v>
      </c>
      <c r="AC495">
        <v>3.8470588235294101</v>
      </c>
    </row>
    <row r="496" spans="1:29" x14ac:dyDescent="0.35">
      <c r="A496" t="s">
        <v>576</v>
      </c>
      <c r="B496" t="s">
        <v>106</v>
      </c>
      <c r="C496" s="1">
        <v>45708</v>
      </c>
      <c r="D496" t="s">
        <v>54</v>
      </c>
      <c r="E496" s="2">
        <v>0.76041666666666663</v>
      </c>
      <c r="F496" t="s">
        <v>84</v>
      </c>
      <c r="G496">
        <v>122.625</v>
      </c>
      <c r="H496">
        <v>118</v>
      </c>
      <c r="I496">
        <v>15</v>
      </c>
      <c r="J496">
        <v>28</v>
      </c>
      <c r="K496" t="s">
        <v>40</v>
      </c>
      <c r="L496">
        <v>0</v>
      </c>
      <c r="M496" t="s">
        <v>34</v>
      </c>
      <c r="N496">
        <v>33</v>
      </c>
      <c r="O496">
        <v>27</v>
      </c>
      <c r="P496">
        <v>16.100000000000001</v>
      </c>
      <c r="Q496">
        <v>0</v>
      </c>
      <c r="R496">
        <v>18</v>
      </c>
      <c r="S496">
        <v>2</v>
      </c>
      <c r="T496">
        <v>3</v>
      </c>
      <c r="U496">
        <v>0</v>
      </c>
      <c r="V496" t="s">
        <v>41</v>
      </c>
      <c r="W496">
        <v>0</v>
      </c>
      <c r="X496">
        <v>0.81818181818181801</v>
      </c>
      <c r="Y496">
        <v>1</v>
      </c>
      <c r="Z496">
        <v>4.3794642857142803</v>
      </c>
      <c r="AA496">
        <v>8.1750000000000007</v>
      </c>
      <c r="AB496">
        <v>4.625</v>
      </c>
      <c r="AC496">
        <v>9.4749999999999996</v>
      </c>
    </row>
    <row r="497" spans="1:29" x14ac:dyDescent="0.35">
      <c r="A497" t="s">
        <v>577</v>
      </c>
      <c r="B497" t="s">
        <v>60</v>
      </c>
      <c r="C497" s="1">
        <v>45691</v>
      </c>
      <c r="D497" t="s">
        <v>87</v>
      </c>
      <c r="E497" s="2">
        <v>0.22916666666666666</v>
      </c>
      <c r="F497" t="s">
        <v>100</v>
      </c>
      <c r="G497">
        <v>54</v>
      </c>
      <c r="H497">
        <v>50</v>
      </c>
      <c r="I497">
        <v>12.5</v>
      </c>
      <c r="J497">
        <v>22</v>
      </c>
      <c r="K497" t="s">
        <v>51</v>
      </c>
      <c r="L497">
        <v>0</v>
      </c>
      <c r="M497" t="s">
        <v>34</v>
      </c>
      <c r="N497">
        <v>30</v>
      </c>
      <c r="O497">
        <v>30</v>
      </c>
      <c r="P497">
        <v>0.3</v>
      </c>
      <c r="Q497">
        <v>0</v>
      </c>
      <c r="R497">
        <v>5</v>
      </c>
      <c r="S497">
        <v>2</v>
      </c>
      <c r="T497">
        <v>0</v>
      </c>
      <c r="U497">
        <v>0</v>
      </c>
      <c r="V497" t="s">
        <v>35</v>
      </c>
      <c r="W497">
        <v>0</v>
      </c>
      <c r="X497">
        <v>1</v>
      </c>
      <c r="Y497">
        <v>0</v>
      </c>
      <c r="Z497">
        <v>2.4545454545454501</v>
      </c>
      <c r="AA497">
        <v>4.32</v>
      </c>
      <c r="AB497">
        <v>4</v>
      </c>
      <c r="AC497">
        <v>3.4760869565217298</v>
      </c>
    </row>
    <row r="498" spans="1:29" x14ac:dyDescent="0.35">
      <c r="A498" t="s">
        <v>578</v>
      </c>
      <c r="B498" t="s">
        <v>106</v>
      </c>
      <c r="C498" s="1">
        <v>45687</v>
      </c>
      <c r="D498" t="s">
        <v>54</v>
      </c>
      <c r="E498" s="2">
        <v>0.64583333333333337</v>
      </c>
      <c r="F498" t="s">
        <v>100</v>
      </c>
      <c r="G498">
        <v>65</v>
      </c>
      <c r="H498">
        <v>59</v>
      </c>
      <c r="I498">
        <v>15</v>
      </c>
      <c r="J498">
        <v>28</v>
      </c>
      <c r="K498" t="s">
        <v>40</v>
      </c>
      <c r="L498">
        <v>0</v>
      </c>
      <c r="M498" t="s">
        <v>34</v>
      </c>
      <c r="N498">
        <v>34</v>
      </c>
      <c r="O498">
        <v>29</v>
      </c>
      <c r="P498">
        <v>9.1</v>
      </c>
      <c r="Q498">
        <v>1</v>
      </c>
      <c r="R498">
        <v>15</v>
      </c>
      <c r="S498">
        <v>1</v>
      </c>
      <c r="T498">
        <v>3</v>
      </c>
      <c r="U498">
        <v>0</v>
      </c>
      <c r="V498" t="s">
        <v>35</v>
      </c>
      <c r="W498">
        <v>0</v>
      </c>
      <c r="X498">
        <v>0.85294117647058798</v>
      </c>
      <c r="Y498">
        <v>1</v>
      </c>
      <c r="Z498">
        <v>2.3214285714285698</v>
      </c>
      <c r="AA498">
        <v>4.3333333333333304</v>
      </c>
      <c r="AB498">
        <v>6</v>
      </c>
      <c r="AC498">
        <v>9.4749999999999996</v>
      </c>
    </row>
    <row r="499" spans="1:29" x14ac:dyDescent="0.35">
      <c r="A499" t="s">
        <v>579</v>
      </c>
      <c r="B499" t="s">
        <v>60</v>
      </c>
      <c r="C499" s="1">
        <v>45666</v>
      </c>
      <c r="D499" t="s">
        <v>54</v>
      </c>
      <c r="E499" s="2">
        <v>0.33333333333333331</v>
      </c>
      <c r="F499" t="s">
        <v>100</v>
      </c>
      <c r="G499">
        <v>64</v>
      </c>
      <c r="H499">
        <v>61</v>
      </c>
      <c r="I499">
        <v>12.5</v>
      </c>
      <c r="J499">
        <v>22</v>
      </c>
      <c r="K499" t="s">
        <v>51</v>
      </c>
      <c r="L499">
        <v>0</v>
      </c>
      <c r="M499" t="s">
        <v>34</v>
      </c>
      <c r="N499">
        <v>33</v>
      </c>
      <c r="O499">
        <v>31</v>
      </c>
      <c r="P499">
        <v>4.5</v>
      </c>
      <c r="Q499">
        <v>0</v>
      </c>
      <c r="R499">
        <v>8</v>
      </c>
      <c r="S499">
        <v>1</v>
      </c>
      <c r="T499">
        <v>3</v>
      </c>
      <c r="U499">
        <v>0</v>
      </c>
      <c r="V499" t="s">
        <v>47</v>
      </c>
      <c r="W499">
        <v>0</v>
      </c>
      <c r="X499">
        <v>0.939393939393939</v>
      </c>
      <c r="Y499">
        <v>0</v>
      </c>
      <c r="Z499">
        <v>2.9090909090908998</v>
      </c>
      <c r="AA499">
        <v>5.12</v>
      </c>
      <c r="AB499">
        <v>3</v>
      </c>
      <c r="AC499">
        <v>3.4760869565217298</v>
      </c>
    </row>
    <row r="500" spans="1:29" x14ac:dyDescent="0.35">
      <c r="A500" t="s">
        <v>580</v>
      </c>
      <c r="B500" t="s">
        <v>49</v>
      </c>
      <c r="C500" s="1">
        <v>45690</v>
      </c>
      <c r="D500" t="s">
        <v>31</v>
      </c>
      <c r="E500" s="2">
        <v>0.64583333333333337</v>
      </c>
      <c r="F500" t="s">
        <v>45</v>
      </c>
      <c r="G500">
        <v>25</v>
      </c>
      <c r="H500">
        <v>24</v>
      </c>
      <c r="I500">
        <v>8.1999999999999993</v>
      </c>
      <c r="J500">
        <v>15</v>
      </c>
      <c r="K500" t="s">
        <v>51</v>
      </c>
      <c r="L500">
        <v>0</v>
      </c>
      <c r="M500" t="s">
        <v>34</v>
      </c>
      <c r="N500">
        <v>33</v>
      </c>
      <c r="O500">
        <v>32</v>
      </c>
      <c r="P500">
        <v>4.5999999999999996</v>
      </c>
      <c r="Q500">
        <v>0</v>
      </c>
      <c r="R500">
        <v>15</v>
      </c>
      <c r="S500">
        <v>2</v>
      </c>
      <c r="T500">
        <v>6</v>
      </c>
      <c r="U500">
        <v>1</v>
      </c>
      <c r="V500" t="s">
        <v>35</v>
      </c>
      <c r="W500">
        <v>0</v>
      </c>
      <c r="X500">
        <v>0.96969696969696895</v>
      </c>
      <c r="Y500">
        <v>0</v>
      </c>
      <c r="Z500">
        <v>1.6666666666666601</v>
      </c>
      <c r="AA500">
        <v>3.0487804878048701</v>
      </c>
      <c r="AB500">
        <v>1</v>
      </c>
      <c r="AC500">
        <v>3.6937500000000001</v>
      </c>
    </row>
    <row r="501" spans="1:29" x14ac:dyDescent="0.35">
      <c r="A501" t="s">
        <v>581</v>
      </c>
      <c r="B501" t="s">
        <v>49</v>
      </c>
      <c r="C501" s="1">
        <v>45708</v>
      </c>
      <c r="D501" t="s">
        <v>54</v>
      </c>
      <c r="E501" s="2">
        <v>0.65625</v>
      </c>
      <c r="F501" t="s">
        <v>97</v>
      </c>
      <c r="G501">
        <v>47</v>
      </c>
      <c r="H501">
        <v>42</v>
      </c>
      <c r="I501">
        <v>8.1999999999999993</v>
      </c>
      <c r="J501">
        <v>15</v>
      </c>
      <c r="K501" t="s">
        <v>51</v>
      </c>
      <c r="L501">
        <v>0</v>
      </c>
      <c r="M501" t="s">
        <v>34</v>
      </c>
      <c r="N501">
        <v>22</v>
      </c>
      <c r="O501">
        <v>21</v>
      </c>
      <c r="P501">
        <v>2.95</v>
      </c>
      <c r="Q501">
        <v>1</v>
      </c>
      <c r="R501">
        <v>15</v>
      </c>
      <c r="S501">
        <v>2</v>
      </c>
      <c r="T501">
        <v>3</v>
      </c>
      <c r="U501">
        <v>0</v>
      </c>
      <c r="V501" t="s">
        <v>35</v>
      </c>
      <c r="W501">
        <v>0</v>
      </c>
      <c r="X501">
        <v>0.95454545454545403</v>
      </c>
      <c r="Y501">
        <v>0</v>
      </c>
      <c r="Z501">
        <v>3.1333333333333302</v>
      </c>
      <c r="AA501">
        <v>5.7317073170731696</v>
      </c>
      <c r="AB501">
        <v>5</v>
      </c>
      <c r="AC501">
        <v>3.6937500000000001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K10" sqref="K10"/>
    </sheetView>
  </sheetViews>
  <sheetFormatPr defaultRowHeight="14.5" x14ac:dyDescent="0.35"/>
  <cols>
    <col min="2" max="2" width="13.6328125" customWidth="1"/>
    <col min="3" max="3" width="11.08984375" customWidth="1"/>
    <col min="8" max="8" width="15.26953125" customWidth="1"/>
  </cols>
  <sheetData>
    <row r="1" spans="1:10" x14ac:dyDescent="0.35">
      <c r="A1" t="s">
        <v>585</v>
      </c>
      <c r="B1" t="s">
        <v>582</v>
      </c>
      <c r="C1" t="s">
        <v>583</v>
      </c>
      <c r="D1" t="s">
        <v>584</v>
      </c>
      <c r="E1" t="s">
        <v>586</v>
      </c>
      <c r="F1" t="s">
        <v>587</v>
      </c>
      <c r="H1" t="s">
        <v>591</v>
      </c>
      <c r="I1">
        <f>SUM(B2:B11)</f>
        <v>30257.875</v>
      </c>
    </row>
    <row r="2" spans="1:10" x14ac:dyDescent="0.35">
      <c r="A2" s="3" t="s">
        <v>60</v>
      </c>
      <c r="B2" s="3">
        <f>SUMIF(Data!$B:$B,A2,Data!$G:$G)</f>
        <v>5348.625</v>
      </c>
      <c r="C2" s="3">
        <f>AVERAGEIF(Data!$B:$B,A2,Data!$G:$G)</f>
        <v>58.137228260869563</v>
      </c>
      <c r="D2" s="3">
        <f>COUNTIF(Data!$B:$B,A2)</f>
        <v>92</v>
      </c>
      <c r="E2">
        <f>RANK(B2,$B$2:$B$11)</f>
        <v>2</v>
      </c>
      <c r="F2">
        <f>B2/SUM($B$2:$B$11)</f>
        <v>0.17676803146288364</v>
      </c>
      <c r="H2" t="s">
        <v>592</v>
      </c>
      <c r="I2">
        <f>AVERAGE(B2:B11)</f>
        <v>3025.7874999999999</v>
      </c>
    </row>
    <row r="3" spans="1:10" x14ac:dyDescent="0.35">
      <c r="A3" s="3" t="s">
        <v>49</v>
      </c>
      <c r="B3" s="3">
        <f>SUMIF(Data!$B:$B,A3,Data!$G:$G)</f>
        <v>2247</v>
      </c>
      <c r="C3" s="3">
        <f>AVERAGEIF(Data!$B:$B,A3,Data!$G:$G)</f>
        <v>46.8125</v>
      </c>
      <c r="D3" s="3">
        <f>COUNTIF(Data!$B:$B,A3)</f>
        <v>48</v>
      </c>
      <c r="E3">
        <f t="shared" ref="E3:E11" si="0">RANK(B3,$B$2:$B$11)</f>
        <v>6</v>
      </c>
      <c r="F3">
        <f t="shared" ref="F3:F11" si="1">B3/SUM($B$2:$B$11)</f>
        <v>7.4261659154848114E-2</v>
      </c>
      <c r="H3" t="s">
        <v>593</v>
      </c>
      <c r="I3" s="3">
        <v>2468.3130000000001</v>
      </c>
      <c r="J3" s="7"/>
    </row>
    <row r="4" spans="1:10" x14ac:dyDescent="0.35">
      <c r="A4" s="3" t="s">
        <v>106</v>
      </c>
      <c r="B4" s="3">
        <f>SUMIF(Data!$B:$B,A4,Data!$G:$G)</f>
        <v>5158.25</v>
      </c>
      <c r="C4" s="3">
        <f>AVERAGEIF(Data!$B:$B,A4,Data!$G:$G)</f>
        <v>71.642361111111114</v>
      </c>
      <c r="D4" s="3">
        <f>COUNTIF(Data!$B:$B,A4)</f>
        <v>72</v>
      </c>
      <c r="E4">
        <f t="shared" si="0"/>
        <v>3</v>
      </c>
      <c r="F4">
        <f t="shared" si="1"/>
        <v>0.17047628096817771</v>
      </c>
      <c r="H4" t="s">
        <v>594</v>
      </c>
      <c r="I4">
        <f>STDEV(B2:B11)</f>
        <v>1711.5857809617019</v>
      </c>
    </row>
    <row r="5" spans="1:10" x14ac:dyDescent="0.35">
      <c r="A5" s="3" t="s">
        <v>65</v>
      </c>
      <c r="B5" s="3">
        <f>SUMIF(Data!$B:$B,A5,Data!$G:$G)</f>
        <v>887</v>
      </c>
      <c r="C5" s="3">
        <f>AVERAGEIF(Data!$B:$B,A5,Data!$G:$G)</f>
        <v>49.277777777777779</v>
      </c>
      <c r="D5" s="3">
        <f>COUNTIF(Data!$B:$B,A5)</f>
        <v>18</v>
      </c>
      <c r="E5">
        <f t="shared" si="0"/>
        <v>10</v>
      </c>
      <c r="F5">
        <f t="shared" si="1"/>
        <v>2.9314682541321888E-2</v>
      </c>
      <c r="H5" t="s">
        <v>595</v>
      </c>
      <c r="I5" t="str">
        <f>INDEX(A2:A11,MATCH(MAX(B2:B11),B2:B11,0))</f>
        <v>R5</v>
      </c>
    </row>
    <row r="6" spans="1:10" x14ac:dyDescent="0.35">
      <c r="A6" s="3" t="s">
        <v>43</v>
      </c>
      <c r="B6" s="3">
        <f>SUMIF(Data!$B:$B,A6,Data!$G:$G)</f>
        <v>5379.125</v>
      </c>
      <c r="C6" s="3">
        <f>AVERAGEIF(Data!$B:$B,A6,Data!$G:$G)</f>
        <v>74.710069444444443</v>
      </c>
      <c r="D6" s="3">
        <f>COUNTIF(Data!$B:$B,A6)</f>
        <v>72</v>
      </c>
      <c r="E6">
        <f t="shared" si="0"/>
        <v>1</v>
      </c>
      <c r="F6">
        <f t="shared" si="1"/>
        <v>0.17777603351193697</v>
      </c>
    </row>
    <row r="7" spans="1:10" x14ac:dyDescent="0.35">
      <c r="A7" s="3" t="s">
        <v>30</v>
      </c>
      <c r="B7" s="3">
        <f>SUMIF(Data!$B:$B,A7,Data!$G:$G)</f>
        <v>2208</v>
      </c>
      <c r="C7" s="3">
        <f>AVERAGEIF(Data!$B:$B,A7,Data!$G:$G)</f>
        <v>50.18181818181818</v>
      </c>
      <c r="D7" s="3">
        <f>COUNTIF(Data!$B:$B,A7)</f>
        <v>44</v>
      </c>
      <c r="E7">
        <f t="shared" si="0"/>
        <v>7</v>
      </c>
      <c r="F7">
        <f t="shared" si="1"/>
        <v>7.2972738501960233E-2</v>
      </c>
    </row>
    <row r="8" spans="1:10" x14ac:dyDescent="0.35">
      <c r="A8" s="3" t="s">
        <v>37</v>
      </c>
      <c r="B8" s="3">
        <f>SUMIF(Data!$B:$B,A8,Data!$G:$G)</f>
        <v>1724</v>
      </c>
      <c r="C8" s="3">
        <f>AVERAGEIF(Data!$B:$B,A8,Data!$G:$G)</f>
        <v>50.705882352941174</v>
      </c>
      <c r="D8" s="3">
        <f>COUNTIF(Data!$B:$B,A8)</f>
        <v>34</v>
      </c>
      <c r="E8">
        <f t="shared" si="0"/>
        <v>8</v>
      </c>
      <c r="F8">
        <f t="shared" si="1"/>
        <v>5.697690270714649E-2</v>
      </c>
    </row>
    <row r="9" spans="1:10" x14ac:dyDescent="0.35">
      <c r="A9" s="3" t="s">
        <v>57</v>
      </c>
      <c r="B9" s="3">
        <f>SUMIF(Data!$B:$B,A9,Data!$G:$G)</f>
        <v>3356.25</v>
      </c>
      <c r="C9" s="3">
        <f>AVERAGEIF(Data!$B:$B,A9,Data!$G:$G)</f>
        <v>71.409574468085111</v>
      </c>
      <c r="D9" s="3">
        <f>COUNTIF(Data!$B:$B,A9)</f>
        <v>47</v>
      </c>
      <c r="E9">
        <f t="shared" si="0"/>
        <v>4</v>
      </c>
      <c r="F9">
        <f t="shared" si="1"/>
        <v>0.11092153695525545</v>
      </c>
    </row>
    <row r="10" spans="1:10" x14ac:dyDescent="0.35">
      <c r="A10" s="3" t="s">
        <v>102</v>
      </c>
      <c r="B10" s="3">
        <f>SUMIF(Data!$B:$B,A10,Data!$G:$G)</f>
        <v>1260</v>
      </c>
      <c r="C10" s="3">
        <f>AVERAGEIF(Data!$B:$B,A10,Data!$G:$G)</f>
        <v>46.666666666666664</v>
      </c>
      <c r="D10" s="3">
        <f>COUNTIF(Data!$B:$B,A10)</f>
        <v>27</v>
      </c>
      <c r="E10">
        <f t="shared" si="0"/>
        <v>9</v>
      </c>
      <c r="F10">
        <f t="shared" si="1"/>
        <v>4.1642051862531657E-2</v>
      </c>
    </row>
    <row r="11" spans="1:10" x14ac:dyDescent="0.35">
      <c r="A11" s="3" t="s">
        <v>72</v>
      </c>
      <c r="B11" s="3">
        <f>SUMIF(Data!$B:$B,A11,Data!$G:$G)</f>
        <v>2689.625</v>
      </c>
      <c r="C11" s="3">
        <f>AVERAGEIF(Data!$B:$B,A11,Data!$G:$G)</f>
        <v>58.470108695652172</v>
      </c>
      <c r="D11" s="3">
        <f>COUNTIF(Data!$B:$B,A11)</f>
        <v>46</v>
      </c>
      <c r="E11">
        <f t="shared" si="0"/>
        <v>5</v>
      </c>
      <c r="F11">
        <f t="shared" si="1"/>
        <v>8.8890082333937859E-2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6" sqref="A6"/>
    </sheetView>
  </sheetViews>
  <sheetFormatPr defaultRowHeight="14.5" x14ac:dyDescent="0.35"/>
  <cols>
    <col min="1" max="1" width="16.08984375" customWidth="1"/>
  </cols>
  <sheetData>
    <row r="1" spans="1:2" x14ac:dyDescent="0.35">
      <c r="A1" t="s">
        <v>602</v>
      </c>
    </row>
    <row r="2" spans="1:2" x14ac:dyDescent="0.35">
      <c r="A2" s="3" t="s">
        <v>591</v>
      </c>
      <c r="B2">
        <f>SUM(Data!G:G)</f>
        <v>30257.875</v>
      </c>
    </row>
    <row r="3" spans="1:2" x14ac:dyDescent="0.35">
      <c r="A3" t="s">
        <v>603</v>
      </c>
      <c r="B3">
        <f>COUNTA(Data!A:A)-1</f>
        <v>500</v>
      </c>
    </row>
    <row r="4" spans="1:2" x14ac:dyDescent="0.35">
      <c r="A4" s="3" t="s">
        <v>595</v>
      </c>
      <c r="B4" s="7" t="str">
        <f>'Route Demand'!I5</f>
        <v>R5</v>
      </c>
    </row>
    <row r="5" spans="1:2" x14ac:dyDescent="0.35">
      <c r="A5" s="3"/>
    </row>
    <row r="6" spans="1:2" x14ac:dyDescent="0.35">
      <c r="A6" s="3"/>
      <c r="B6" s="7"/>
    </row>
    <row r="7" spans="1:2" ht="29" x14ac:dyDescent="0.35">
      <c r="A7" s="3" t="s">
        <v>604</v>
      </c>
      <c r="B7" s="7">
        <f>AVERAGEIF(Data!U:U,0,Data!G:G)</f>
        <v>64.959999999999994</v>
      </c>
    </row>
    <row r="8" spans="1:2" ht="29" x14ac:dyDescent="0.35">
      <c r="A8" s="3" t="s">
        <v>605</v>
      </c>
      <c r="B8" s="7">
        <f>AVERAGEIF(Data!U:U,1,Data!G:G)</f>
        <v>50.145833333333336</v>
      </c>
    </row>
    <row r="9" spans="1:2" ht="29" x14ac:dyDescent="0.35">
      <c r="A9" s="3" t="s">
        <v>606</v>
      </c>
      <c r="B9" s="7">
        <f>(B8-B7)/B7</f>
        <v>-0.22805059523809512</v>
      </c>
    </row>
    <row r="10" spans="1:2" ht="29" x14ac:dyDescent="0.35">
      <c r="A10" s="3" t="s">
        <v>607</v>
      </c>
      <c r="B10" s="7">
        <f>AVERAGE(Data!P:P)</f>
        <v>5.5396000000000027</v>
      </c>
    </row>
    <row r="11" spans="1:2" ht="29" x14ac:dyDescent="0.35">
      <c r="A11" s="3" t="s">
        <v>608</v>
      </c>
      <c r="B11" s="7">
        <f>COUNTIF(Data!Y:Y,1)/COUNT(Data!Y:Y)</f>
        <v>0.45</v>
      </c>
    </row>
    <row r="12" spans="1:2" ht="72.5" x14ac:dyDescent="0.35">
      <c r="A12" s="3" t="s">
        <v>609</v>
      </c>
      <c r="B12" s="7" t="s">
        <v>610</v>
      </c>
    </row>
    <row r="13" spans="1:2" x14ac:dyDescent="0.35">
      <c r="A13" s="3" t="s">
        <v>611</v>
      </c>
      <c r="B13" s="7">
        <f>(AVERAGEIF(Data!W:W,1,Data!G:G)-AVERAGEIF(Data!W:W,0,Data!G:G))/AVERAGEIF(Data!W:W,0,Data!G:G)</f>
        <v>0.10552411213715959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 Boardings by Route</vt:lpstr>
      <vt:lpstr>Average Boardings by Period</vt:lpstr>
      <vt:lpstr>Pivot Stop</vt:lpstr>
      <vt:lpstr>Pivot Weekend</vt:lpstr>
      <vt:lpstr>Pivot Delay</vt:lpstr>
      <vt:lpstr>Pivot Event</vt:lpstr>
      <vt:lpstr>Data</vt:lpstr>
      <vt:lpstr>Route Demand</vt:lpstr>
      <vt:lpstr>Summary</vt:lpstr>
      <vt:lpstr>Route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2026-10-13T06:25:56Z</dcterms:created>
  <dcterms:modified xsi:type="dcterms:W3CDTF">2026-10-13T08:48:00Z</dcterms:modified>
</cp:coreProperties>
</file>